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Historic FCFF" sheetId="2" r:id="rId6"/>
    <sheet state="visible" name="Estimated FCFF" sheetId="3" r:id="rId7"/>
    <sheet state="visible" name="Input Data" sheetId="4" r:id="rId8"/>
  </sheets>
  <definedNames/>
  <calcPr/>
</workbook>
</file>

<file path=xl/sharedStrings.xml><?xml version="1.0" encoding="utf-8"?>
<sst xmlns="http://schemas.openxmlformats.org/spreadsheetml/2006/main" count="115" uniqueCount="110">
  <si>
    <t>Caterpillar Inc.</t>
  </si>
  <si>
    <t>Historic FCFF</t>
  </si>
  <si>
    <t>USD' millions</t>
  </si>
  <si>
    <t>Net Income</t>
  </si>
  <si>
    <t>Add: Non cash charges</t>
  </si>
  <si>
    <t>D&amp;A</t>
  </si>
  <si>
    <t>Share based comp…</t>
  </si>
  <si>
    <t xml:space="preserve">Less: Changes in Working Capital </t>
  </si>
  <si>
    <t>Less: Capex</t>
  </si>
  <si>
    <t>FCF</t>
  </si>
  <si>
    <t>Average</t>
  </si>
  <si>
    <t>Revenue</t>
  </si>
  <si>
    <t xml:space="preserve">Revenue growth </t>
  </si>
  <si>
    <t>FCF margin</t>
  </si>
  <si>
    <t>FCF growth</t>
  </si>
  <si>
    <t>FCF ROC</t>
  </si>
  <si>
    <t>Current Assets</t>
  </si>
  <si>
    <t xml:space="preserve">Current liabilities </t>
  </si>
  <si>
    <t>Working Capital</t>
  </si>
  <si>
    <t>Change Working Capital</t>
  </si>
  <si>
    <t>Estimated FCFF</t>
  </si>
  <si>
    <t xml:space="preserve">Revenue  growth </t>
  </si>
  <si>
    <t>Terminal</t>
  </si>
  <si>
    <t>FCFF</t>
  </si>
  <si>
    <t>WACC</t>
  </si>
  <si>
    <t>Terminal growth rate</t>
  </si>
  <si>
    <t>Enterprise Value (XNPV)</t>
  </si>
  <si>
    <t>Add: Cash</t>
  </si>
  <si>
    <t>Less: Debt</t>
  </si>
  <si>
    <t>Equity Value</t>
  </si>
  <si>
    <t>Shares Outstand…</t>
  </si>
  <si>
    <t>Equity Value/Share</t>
  </si>
  <si>
    <t>Group Financial Statements</t>
  </si>
  <si>
    <t>Income Statement</t>
  </si>
  <si>
    <t xml:space="preserve">TTM </t>
  </si>
  <si>
    <t>Sales and Revenues:</t>
  </si>
  <si>
    <t>Sales (Machinery, Energy &amp; Transp./Power)</t>
  </si>
  <si>
    <t>Revenues of Financial Products</t>
  </si>
  <si>
    <t>Total Sales and Revenues</t>
  </si>
  <si>
    <t>Operating Costs:</t>
  </si>
  <si>
    <t>Cost of goods sold</t>
  </si>
  <si>
    <t>SG&amp;A expenses</t>
  </si>
  <si>
    <t>SG&amp;A</t>
  </si>
  <si>
    <t>R&amp;D expenses</t>
  </si>
  <si>
    <t>Interest expense of Financial Products</t>
  </si>
  <si>
    <t>Goodwill impairment charge</t>
  </si>
  <si>
    <t>Other operating (income) expenses</t>
  </si>
  <si>
    <t>Total Operating Costs</t>
  </si>
  <si>
    <t>Operating Profit</t>
  </si>
  <si>
    <t>Interest exp. (excl. Financial Products)</t>
  </si>
  <si>
    <t>Other income (expense)</t>
  </si>
  <si>
    <t>Consolidated Profit Before Taxes</t>
  </si>
  <si>
    <t>Provision (benefit) for income taxes</t>
  </si>
  <si>
    <t>Equity in profit of unconsolidated affiliates</t>
  </si>
  <si>
    <t>Noncontrolling interests adjustment</t>
  </si>
  <si>
    <t>NET PROFIT</t>
  </si>
  <si>
    <t xml:space="preserve">Balance Sheet </t>
  </si>
  <si>
    <t>Assets</t>
  </si>
  <si>
    <t>Cash and cash equivalents</t>
  </si>
  <si>
    <t>Receivables – trade and other</t>
  </si>
  <si>
    <t>Receivables – finance</t>
  </si>
  <si>
    <t>Inventories</t>
  </si>
  <si>
    <t>Other current assets</t>
  </si>
  <si>
    <t>Total current assets</t>
  </si>
  <si>
    <t>Property, plant and equipment – net</t>
  </si>
  <si>
    <t>Long-term receivables (Trade &amp; Fin.)</t>
  </si>
  <si>
    <t>Goodwill &amp; Intangible assets</t>
  </si>
  <si>
    <t>Other non-current assets</t>
  </si>
  <si>
    <t>Total assets</t>
  </si>
  <si>
    <t>Liabilities</t>
  </si>
  <si>
    <t>Short-term borrowings</t>
  </si>
  <si>
    <t>Accounts payable</t>
  </si>
  <si>
    <t>Accrued expenses &amp; wages</t>
  </si>
  <si>
    <t>Long-term debt due within 1 yr</t>
  </si>
  <si>
    <t>Other current liabilities</t>
  </si>
  <si>
    <t>Total current liabilities</t>
  </si>
  <si>
    <t>Long-term debt due after 1 yr</t>
  </si>
  <si>
    <t>Other non-current liabilities</t>
  </si>
  <si>
    <t>Total liabilities</t>
  </si>
  <si>
    <t>Shareholders' Equity</t>
  </si>
  <si>
    <t>Common stock</t>
  </si>
  <si>
    <t>Treasury stock</t>
  </si>
  <si>
    <t>Profit employed in the business</t>
  </si>
  <si>
    <t>Accumulated other comp. loss</t>
  </si>
  <si>
    <t>Noncontrolling interests</t>
  </si>
  <si>
    <t>—</t>
  </si>
  <si>
    <t>Total shareholders' equity</t>
  </si>
  <si>
    <t>Total liab. and equity</t>
  </si>
  <si>
    <t>Cash Flow Statement</t>
  </si>
  <si>
    <t>Operating Activities:</t>
  </si>
  <si>
    <t>Profit (Consolidated &amp; Affiliated)</t>
  </si>
  <si>
    <t>Depreciation and Amortization</t>
  </si>
  <si>
    <t>Changes in Assets/Liabilities (Net)</t>
  </si>
  <si>
    <t>Other adjustments</t>
  </si>
  <si>
    <t>Net Cash from Operating Activities</t>
  </si>
  <si>
    <t>Investing Activities:</t>
  </si>
  <si>
    <t>Capital Expenditures (Excl. Leased)</t>
  </si>
  <si>
    <t>Additions to Finance Receivables</t>
  </si>
  <si>
    <t>Collections of Finance Receivables</t>
  </si>
  <si>
    <t>Other Investing (Net)</t>
  </si>
  <si>
    <t>Net Cash from Investing Activities</t>
  </si>
  <si>
    <t>Financing Activities:</t>
  </si>
  <si>
    <t>Dividends Paid</t>
  </si>
  <si>
    <t>Share Repurchases (Common Stock)</t>
  </si>
  <si>
    <t>Proceeds from Debt Issued</t>
  </si>
  <si>
    <t>Payments on Debt</t>
  </si>
  <si>
    <t>Other Financing (Net)</t>
  </si>
  <si>
    <t>Net Cash from Financing Activities</t>
  </si>
  <si>
    <t>Net Change in Cash</t>
  </si>
  <si>
    <t>Cash Balance (End of Year)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</si>
</sst>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0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rgb="FFFF0000"/>
      <name val="Inconsolata"/>
    </font>
    <font>
      <b/>
      <sz val="11.0"/>
      <color theme="0"/>
      <name val="Inconsolata"/>
    </font>
    <font>
      <sz val="11.0"/>
      <color theme="0"/>
      <name val="Inconsolata"/>
    </font>
    <font>
      <sz val="11.0"/>
      <color theme="1"/>
      <name val="Inconsolata"/>
    </font>
    <font>
      <b/>
      <i/>
      <sz val="11.0"/>
      <color theme="1"/>
      <name val="Inconsolata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Inconsolata"/>
    </font>
    <font>
      <b/>
      <i/>
      <sz val="11.0"/>
      <color theme="1"/>
      <name val="Aptos Narrow"/>
    </font>
    <font>
      <sz val="11.0"/>
      <color rgb="FF0000FF"/>
      <name val="Inconsolata"/>
    </font>
    <font>
      <b/>
      <sz val="16.0"/>
      <color theme="1"/>
      <name val="Inconsolata"/>
    </font>
    <font>
      <sz val="10.0"/>
      <color theme="1"/>
      <name val="Inconsolata"/>
    </font>
    <font>
      <b/>
      <sz val="12.0"/>
      <color theme="1"/>
      <name val="Inconsolata"/>
    </font>
    <font>
      <b/>
      <sz val="11.0"/>
      <color rgb="FF1F1F1F"/>
      <name val="Inconsolata"/>
    </font>
    <font>
      <sz val="11.0"/>
      <color rgb="FF1F1F1F"/>
      <name val="Inconsolata"/>
    </font>
    <font>
      <sz val="12.0"/>
      <color theme="1"/>
      <name val="Inconsolata"/>
    </font>
    <font>
      <b/>
      <sz val="12.0"/>
      <color rgb="FF1F1F1F"/>
      <name val="Inconsolata"/>
    </font>
    <font>
      <sz val="12.0"/>
      <color rgb="FF1F1F1F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033E34"/>
        <bgColor rgb="FF033E34"/>
      </patternFill>
    </fill>
    <fill>
      <patternFill patternType="solid">
        <fgColor rgb="FFE2FEF9"/>
        <bgColor rgb="FFE2FEF9"/>
      </patternFill>
    </fill>
  </fills>
  <borders count="6">
    <border/>
    <border>
      <left/>
      <right/>
      <top/>
      <bottom/>
    </border>
    <border>
      <bottom style="medium">
        <color rgb="FFC9F223"/>
      </bottom>
    </border>
    <border>
      <bottom style="dotted">
        <color theme="1"/>
      </bottom>
    </border>
    <border>
      <bottom style="dotted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1" fillId="2" fontId="3" numFmtId="0" xfId="0" applyAlignment="1" applyBorder="1" applyFont="1">
      <alignment horizontal="left"/>
    </xf>
    <xf borderId="1" fillId="2" fontId="3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left"/>
    </xf>
    <xf borderId="1" fillId="2" fontId="4" numFmtId="0" xfId="0" applyBorder="1" applyFont="1"/>
    <xf borderId="1" fillId="2" fontId="5" numFmtId="0" xfId="0" applyBorder="1" applyFont="1"/>
    <xf borderId="0" fillId="0" fontId="5" numFmtId="0" xfId="0" applyFont="1"/>
    <xf borderId="2" fillId="0" fontId="6" numFmtId="0" xfId="0" applyBorder="1" applyFont="1"/>
    <xf borderId="2" fillId="0" fontId="5" numFmtId="0" xfId="0" applyBorder="1" applyFont="1"/>
    <xf borderId="0" fillId="0" fontId="5" numFmtId="3" xfId="0" applyFont="1" applyNumberFormat="1"/>
    <xf borderId="3" fillId="0" fontId="5" numFmtId="3" xfId="0" applyBorder="1" applyFont="1" applyNumberFormat="1"/>
    <xf borderId="0" fillId="0" fontId="5" numFmtId="0" xfId="0" applyAlignment="1" applyFont="1">
      <alignment horizontal="left"/>
    </xf>
    <xf borderId="4" fillId="0" fontId="7" numFmtId="0" xfId="0" applyBorder="1" applyFont="1"/>
    <xf borderId="5" fillId="0" fontId="5" numFmtId="3" xfId="0" applyBorder="1" applyFont="1" applyNumberFormat="1"/>
    <xf borderId="0" fillId="0" fontId="8" numFmtId="0" xfId="0" applyFont="1"/>
    <xf borderId="0" fillId="0" fontId="9" numFmtId="0" xfId="0" applyFont="1"/>
    <xf borderId="0" fillId="0" fontId="9" numFmtId="3" xfId="0" applyFont="1" applyNumberFormat="1"/>
    <xf borderId="0" fillId="0" fontId="5" numFmtId="0" xfId="0" applyAlignment="1" applyFont="1">
      <alignment horizontal="center"/>
    </xf>
    <xf borderId="1" fillId="3" fontId="5" numFmtId="0" xfId="0" applyBorder="1" applyFill="1" applyFont="1"/>
    <xf borderId="1" fillId="3" fontId="7" numFmtId="0" xfId="0" applyBorder="1" applyFont="1"/>
    <xf borderId="1" fillId="3" fontId="7" numFmtId="164" xfId="0" applyBorder="1" applyFont="1" applyNumberFormat="1"/>
    <xf borderId="1" fillId="3" fontId="5" numFmtId="164" xfId="0" applyBorder="1" applyFont="1" applyNumberFormat="1"/>
    <xf borderId="2" fillId="0" fontId="10" numFmtId="0" xfId="0" applyBorder="1" applyFont="1"/>
    <xf borderId="2" fillId="0" fontId="7" numFmtId="0" xfId="0" applyBorder="1" applyFont="1"/>
    <xf borderId="0" fillId="0" fontId="9" numFmtId="0" xfId="0" applyAlignment="1" applyFont="1">
      <alignment horizontal="right"/>
    </xf>
    <xf borderId="1" fillId="2" fontId="7" numFmtId="0" xfId="0" applyBorder="1" applyFont="1"/>
    <xf borderId="0" fillId="0" fontId="11" numFmtId="164" xfId="0" applyFont="1" applyNumberFormat="1"/>
    <xf borderId="4" fillId="0" fontId="5" numFmtId="0" xfId="0" applyBorder="1" applyFont="1"/>
    <xf borderId="4" fillId="0" fontId="5" numFmtId="3" xfId="0" applyBorder="1" applyFont="1" applyNumberFormat="1"/>
    <xf borderId="0" fillId="0" fontId="11" numFmtId="9" xfId="0" applyFont="1" applyNumberFormat="1"/>
    <xf borderId="0" fillId="0" fontId="11" numFmtId="3" xfId="0" applyFont="1" applyNumberForma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horizontal="left" readingOrder="1"/>
    </xf>
    <xf borderId="0" fillId="0" fontId="16" numFmtId="0" xfId="0" applyAlignment="1" applyFont="1">
      <alignment horizontal="left" readingOrder="1"/>
    </xf>
    <xf borderId="0" fillId="0" fontId="16" numFmtId="0" xfId="0" applyAlignment="1" applyFont="1">
      <alignment horizontal="left" readingOrder="1"/>
    </xf>
    <xf borderId="0" fillId="0" fontId="17" numFmtId="0" xfId="0" applyFont="1"/>
    <xf borderId="0" fillId="0" fontId="18" numFmtId="0" xfId="0" applyAlignment="1" applyFont="1">
      <alignment horizontal="left" readingOrder="1"/>
    </xf>
    <xf borderId="0" fillId="0" fontId="19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6" width="12.75"/>
    <col customWidth="1" min="7" max="26" width="8.63"/>
  </cols>
  <sheetData>
    <row r="1" ht="14.25" customHeight="1"/>
    <row r="2" ht="14.25" customHeight="1"/>
    <row r="3" ht="14.25" customHeight="1"/>
    <row r="4" ht="14.25" customHeight="1"/>
    <row r="5" ht="14.25" customHeight="1">
      <c r="D5" s="1" t="s">
        <v>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F223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.38"/>
    <col customWidth="1" min="2" max="13" width="12.75"/>
    <col customWidth="1" min="14" max="26" width="8.63"/>
  </cols>
  <sheetData>
    <row r="1" ht="14.25" customHeight="1"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</row>
    <row r="2" ht="14.25" customHeight="1">
      <c r="B2" s="4" t="s">
        <v>1</v>
      </c>
      <c r="C2" s="5"/>
      <c r="D2" s="5"/>
      <c r="E2" s="5"/>
      <c r="F2" s="5"/>
      <c r="G2" s="5"/>
      <c r="H2" s="2"/>
      <c r="I2" s="2"/>
      <c r="J2" s="2"/>
      <c r="K2" s="3"/>
      <c r="L2" s="6"/>
      <c r="M2" s="6"/>
      <c r="N2" s="6"/>
      <c r="O2" s="6"/>
      <c r="P2" s="6"/>
      <c r="Q2" s="6"/>
      <c r="R2" s="6"/>
    </row>
    <row r="3" ht="14.25" customHeight="1">
      <c r="B3" s="7" t="str">
        <f>'Cover Page'!D5&amp;" | "&amp;TEXT(TODAY(),"mmmm d, yyyy")</f>
        <v>Caterpillar Inc. | July 1, 2026</v>
      </c>
      <c r="C3" s="8"/>
      <c r="D3" s="8"/>
      <c r="E3" s="8"/>
      <c r="F3" s="8"/>
      <c r="G3" s="8"/>
      <c r="H3" s="8"/>
      <c r="I3" s="9"/>
      <c r="J3" s="9"/>
      <c r="K3" s="10"/>
      <c r="L3" s="10"/>
      <c r="M3" s="10"/>
      <c r="N3" s="10"/>
      <c r="O3" s="10"/>
      <c r="P3" s="10"/>
      <c r="Q3" s="10"/>
      <c r="R3" s="10"/>
    </row>
    <row r="4" ht="14.25" customHeight="1">
      <c r="B4" s="10"/>
      <c r="C4" s="10"/>
      <c r="D4" s="10"/>
      <c r="E4" s="10"/>
      <c r="F4" s="10"/>
      <c r="G4" s="10"/>
      <c r="H4" s="10"/>
      <c r="I4" s="10"/>
      <c r="J4" s="10"/>
    </row>
    <row r="5" ht="14.25" customHeight="1">
      <c r="B5" s="11" t="s">
        <v>2</v>
      </c>
      <c r="C5" s="12"/>
      <c r="D5" s="12"/>
      <c r="E5" s="12"/>
      <c r="F5" s="12"/>
      <c r="G5" s="12"/>
      <c r="H5" s="12"/>
      <c r="I5" s="12"/>
      <c r="J5" s="12"/>
    </row>
    <row r="6" ht="14.25" customHeight="1">
      <c r="B6" s="10"/>
      <c r="C6" s="10"/>
      <c r="D6" s="10"/>
      <c r="E6" s="10"/>
      <c r="F6" s="10"/>
      <c r="G6" s="10"/>
      <c r="H6" s="10"/>
      <c r="I6" s="10"/>
      <c r="J6" s="10"/>
    </row>
    <row r="7" ht="14.25" customHeight="1">
      <c r="B7" s="10"/>
      <c r="C7" s="10"/>
      <c r="D7" s="10"/>
      <c r="E7" s="10"/>
      <c r="F7" s="10"/>
      <c r="G7" s="10"/>
      <c r="H7" s="10"/>
      <c r="I7" s="10"/>
      <c r="J7" s="10"/>
    </row>
    <row r="8" ht="14.25" customHeight="1">
      <c r="B8" s="8"/>
      <c r="C8" s="8"/>
      <c r="D8" s="5">
        <v>2021.0</v>
      </c>
      <c r="E8" s="5">
        <f t="shared" ref="E8:H8" si="1">+D8+1</f>
        <v>2022</v>
      </c>
      <c r="F8" s="5">
        <f t="shared" si="1"/>
        <v>2023</v>
      </c>
      <c r="G8" s="5">
        <f t="shared" si="1"/>
        <v>2024</v>
      </c>
      <c r="H8" s="5">
        <f t="shared" si="1"/>
        <v>2025</v>
      </c>
      <c r="I8" s="10"/>
      <c r="J8" s="10"/>
    </row>
    <row r="9" ht="14.25" customHeight="1">
      <c r="B9" s="10"/>
      <c r="C9" s="10"/>
      <c r="D9" s="10"/>
      <c r="E9" s="10"/>
      <c r="F9" s="10"/>
      <c r="G9" s="10"/>
      <c r="H9" s="10"/>
      <c r="I9" s="10"/>
      <c r="J9" s="10"/>
    </row>
    <row r="10" ht="14.25" customHeight="1">
      <c r="B10" s="10" t="s">
        <v>3</v>
      </c>
      <c r="C10" s="10"/>
      <c r="D10" s="13">
        <f>+'Input Data'!F31</f>
        <v>6489</v>
      </c>
      <c r="E10" s="13">
        <f>+'Input Data'!G31</f>
        <v>6705</v>
      </c>
      <c r="F10" s="13">
        <f>+'Input Data'!H31</f>
        <v>10335</v>
      </c>
      <c r="G10" s="13">
        <f>+'Input Data'!I31</f>
        <v>10792</v>
      </c>
      <c r="H10" s="13">
        <f>+'Input Data'!J31</f>
        <v>8884</v>
      </c>
      <c r="I10" s="10"/>
      <c r="J10" s="10"/>
    </row>
    <row r="11" ht="14.25" customHeight="1">
      <c r="B11" s="10" t="s">
        <v>4</v>
      </c>
      <c r="C11" s="10"/>
      <c r="D11" s="14">
        <f t="shared" ref="D11:H11" si="2">+D12+D13</f>
        <v>2352</v>
      </c>
      <c r="E11" s="14">
        <f t="shared" si="2"/>
        <v>2219</v>
      </c>
      <c r="F11" s="14">
        <f t="shared" si="2"/>
        <v>2144</v>
      </c>
      <c r="G11" s="14">
        <f t="shared" si="2"/>
        <v>2153</v>
      </c>
      <c r="H11" s="14">
        <f t="shared" si="2"/>
        <v>2262</v>
      </c>
      <c r="I11" s="10"/>
      <c r="J11" s="10"/>
    </row>
    <row r="12" ht="14.25" customHeight="1">
      <c r="B12" s="15" t="s">
        <v>5</v>
      </c>
      <c r="C12" s="10"/>
      <c r="D12" s="13">
        <f>+'Input Data'!F15</f>
        <v>2352</v>
      </c>
      <c r="E12" s="13">
        <f>+'Input Data'!G15</f>
        <v>2219</v>
      </c>
      <c r="F12" s="13">
        <f>+'Input Data'!H15</f>
        <v>2144</v>
      </c>
      <c r="G12" s="13">
        <f>+'Input Data'!I15</f>
        <v>2153</v>
      </c>
      <c r="H12" s="13">
        <f>+'Input Data'!J15</f>
        <v>2262</v>
      </c>
      <c r="I12" s="10"/>
      <c r="J12" s="10"/>
    </row>
    <row r="13" ht="14.25" customHeight="1">
      <c r="B13" s="15" t="s">
        <v>6</v>
      </c>
      <c r="D13" s="16"/>
      <c r="E13" s="16"/>
      <c r="F13" s="16"/>
      <c r="G13" s="16"/>
      <c r="H13" s="16"/>
      <c r="I13" s="10"/>
      <c r="J13" s="10"/>
    </row>
    <row r="14" ht="14.25" customHeight="1">
      <c r="B14" s="13" t="s">
        <v>7</v>
      </c>
      <c r="C14" s="13"/>
      <c r="D14" s="13">
        <f>+'Input Data'!F76</f>
        <v>-1846</v>
      </c>
      <c r="E14" s="13">
        <f>+'Input Data'!G76</f>
        <v>-1927</v>
      </c>
      <c r="F14" s="13">
        <f>+'Input Data'!H76</f>
        <v>-20</v>
      </c>
      <c r="G14" s="13">
        <f>+'Input Data'!I76</f>
        <v>-1234</v>
      </c>
      <c r="H14" s="13">
        <f>+'Input Data'!J76</f>
        <v>-16</v>
      </c>
      <c r="I14" s="10"/>
      <c r="J14" s="10"/>
    </row>
    <row r="15" ht="14.25" customHeight="1">
      <c r="B15" s="13" t="s">
        <v>8</v>
      </c>
      <c r="C15" s="13"/>
      <c r="D15" s="17">
        <f>+'Input Data'!F81*-1</f>
        <v>1093</v>
      </c>
      <c r="E15" s="17">
        <f>+'Input Data'!G81*-1</f>
        <v>1296</v>
      </c>
      <c r="F15" s="17">
        <f>+'Input Data'!H81*-1</f>
        <v>1597</v>
      </c>
      <c r="G15" s="17">
        <f>+'Input Data'!I81*-1</f>
        <v>1988</v>
      </c>
      <c r="H15" s="17">
        <f>+'Input Data'!J81*-1</f>
        <v>2821</v>
      </c>
      <c r="I15" s="10"/>
      <c r="J15" s="10"/>
    </row>
    <row r="16" ht="14.25" customHeight="1">
      <c r="A16" s="18"/>
      <c r="B16" s="19" t="s">
        <v>9</v>
      </c>
      <c r="C16" s="19"/>
      <c r="D16" s="20">
        <f t="shared" ref="D16:H16" si="3">+D10+D11-D14-D15</f>
        <v>9594</v>
      </c>
      <c r="E16" s="20">
        <f t="shared" si="3"/>
        <v>9555</v>
      </c>
      <c r="F16" s="20">
        <f t="shared" si="3"/>
        <v>10902</v>
      </c>
      <c r="G16" s="20">
        <f t="shared" si="3"/>
        <v>12191</v>
      </c>
      <c r="H16" s="20">
        <f t="shared" si="3"/>
        <v>8341</v>
      </c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B17" s="10"/>
      <c r="C17" s="10"/>
      <c r="D17" s="10"/>
      <c r="E17" s="10"/>
      <c r="F17" s="10"/>
      <c r="G17" s="10"/>
      <c r="H17" s="13"/>
      <c r="I17" s="10"/>
      <c r="J17" s="10"/>
    </row>
    <row r="18" ht="14.25" customHeight="1">
      <c r="B18" s="10"/>
      <c r="C18" s="10"/>
      <c r="D18" s="10"/>
      <c r="E18" s="10"/>
      <c r="F18" s="10"/>
      <c r="G18" s="10"/>
      <c r="H18" s="10"/>
      <c r="I18" s="21" t="s">
        <v>10</v>
      </c>
      <c r="J18" s="10"/>
    </row>
    <row r="19" ht="14.25" customHeight="1">
      <c r="B19" s="10" t="s">
        <v>11</v>
      </c>
      <c r="C19" s="10"/>
      <c r="D19" s="13">
        <f>+'Input Data'!F9</f>
        <v>50971</v>
      </c>
      <c r="E19" s="13">
        <f>+'Input Data'!G9</f>
        <v>59427</v>
      </c>
      <c r="F19" s="13">
        <f>+'Input Data'!H9</f>
        <v>67060</v>
      </c>
      <c r="G19" s="13">
        <f>+'Input Data'!I9</f>
        <v>64809</v>
      </c>
      <c r="H19" s="13">
        <f>+'Input Data'!J9</f>
        <v>67589</v>
      </c>
      <c r="I19" s="10"/>
      <c r="J19" s="10"/>
    </row>
    <row r="20" ht="14.25" customHeight="1">
      <c r="B20" s="22" t="s">
        <v>12</v>
      </c>
      <c r="C20" s="23"/>
      <c r="D20" s="23"/>
      <c r="E20" s="24">
        <f t="shared" ref="E20:H20" si="4">+(E19-D19)/D19</f>
        <v>0.1658982559</v>
      </c>
      <c r="F20" s="24">
        <f t="shared" si="4"/>
        <v>0.1284433002</v>
      </c>
      <c r="G20" s="24">
        <f t="shared" si="4"/>
        <v>-0.03356695497</v>
      </c>
      <c r="H20" s="24">
        <f t="shared" si="4"/>
        <v>0.04289527689</v>
      </c>
      <c r="I20" s="25">
        <f>+AVERAGE(E20:H20)</f>
        <v>0.07591746949</v>
      </c>
      <c r="J20" s="10"/>
    </row>
    <row r="21" ht="14.25" customHeight="1">
      <c r="B21" s="22" t="s">
        <v>13</v>
      </c>
      <c r="C21" s="22"/>
      <c r="D21" s="25">
        <f t="shared" ref="D21:H21" si="5">+D16/D19</f>
        <v>0.1882246768</v>
      </c>
      <c r="E21" s="25">
        <f t="shared" si="5"/>
        <v>0.1607855015</v>
      </c>
      <c r="F21" s="25">
        <f t="shared" si="5"/>
        <v>0.1625708321</v>
      </c>
      <c r="G21" s="25">
        <f t="shared" si="5"/>
        <v>0.1881065901</v>
      </c>
      <c r="H21" s="25">
        <f t="shared" si="5"/>
        <v>0.1234076551</v>
      </c>
      <c r="I21" s="25">
        <f>+AVERAGE(D21:H21)</f>
        <v>0.1646190511</v>
      </c>
      <c r="J21" s="10"/>
    </row>
    <row r="22" ht="14.25" customHeight="1">
      <c r="B22" s="22" t="s">
        <v>14</v>
      </c>
      <c r="C22" s="22"/>
      <c r="D22" s="22"/>
      <c r="E22" s="25">
        <f t="shared" ref="E22:H22" si="6">+(E16-D16)/D16</f>
        <v>-0.00406504065</v>
      </c>
      <c r="F22" s="25">
        <f t="shared" si="6"/>
        <v>0.1409733124</v>
      </c>
      <c r="G22" s="25">
        <f t="shared" si="6"/>
        <v>0.1182351862</v>
      </c>
      <c r="H22" s="25">
        <f t="shared" si="6"/>
        <v>-0.3158067427</v>
      </c>
      <c r="I22" s="25"/>
      <c r="J22" s="10"/>
    </row>
    <row r="23" ht="14.25" customHeight="1">
      <c r="B23" s="22" t="s">
        <v>15</v>
      </c>
      <c r="I23" s="10">
        <f>+H16/(SUM('Input Data'!J43,'Input Data'!J45:J46)+('Input Data'!J42-'Input Data'!J55))</f>
        <v>0.1828645342</v>
      </c>
      <c r="J23" s="10"/>
    </row>
    <row r="24" ht="14.25" customHeight="1">
      <c r="I24" s="10"/>
      <c r="J24" s="10"/>
    </row>
    <row r="25" ht="14.25" customHeight="1">
      <c r="B25" s="10" t="s">
        <v>16</v>
      </c>
      <c r="C25" s="10"/>
      <c r="D25" s="13">
        <f>+'Input Data'!F42</f>
        <v>43455</v>
      </c>
      <c r="E25" s="13">
        <f>+'Input Data'!G42</f>
        <v>43785</v>
      </c>
      <c r="F25" s="13">
        <f>+'Input Data'!H42</f>
        <v>46949</v>
      </c>
      <c r="G25" s="13">
        <f>+'Input Data'!I42</f>
        <v>45682</v>
      </c>
      <c r="H25" s="13">
        <f>+'Input Data'!J42</f>
        <v>52485</v>
      </c>
      <c r="I25" s="10"/>
      <c r="J25" s="10"/>
    </row>
    <row r="26" ht="14.25" customHeight="1">
      <c r="B26" s="10" t="s">
        <v>17</v>
      </c>
      <c r="C26" s="10"/>
      <c r="D26" s="13">
        <f>+'Input Data'!F55</f>
        <v>29847</v>
      </c>
      <c r="E26" s="13">
        <f>+'Input Data'!G55</f>
        <v>31531</v>
      </c>
      <c r="F26" s="13">
        <f>+'Input Data'!H55</f>
        <v>34728</v>
      </c>
      <c r="G26" s="13">
        <f>+'Input Data'!I55</f>
        <v>32272</v>
      </c>
      <c r="H26" s="13">
        <f>+'Input Data'!J55</f>
        <v>36558</v>
      </c>
      <c r="I26" s="10"/>
      <c r="J26" s="10"/>
    </row>
    <row r="27" ht="14.25" customHeight="1">
      <c r="B27" s="19" t="s">
        <v>18</v>
      </c>
      <c r="C27" s="10"/>
      <c r="D27" s="20">
        <f t="shared" ref="D27:H27" si="7">+D25-D26</f>
        <v>13608</v>
      </c>
      <c r="E27" s="20">
        <f t="shared" si="7"/>
        <v>12254</v>
      </c>
      <c r="F27" s="20">
        <f t="shared" si="7"/>
        <v>12221</v>
      </c>
      <c r="G27" s="20">
        <f t="shared" si="7"/>
        <v>13410</v>
      </c>
      <c r="H27" s="20">
        <f t="shared" si="7"/>
        <v>15927</v>
      </c>
      <c r="I27" s="10"/>
      <c r="J27" s="10"/>
    </row>
    <row r="28" ht="14.25" customHeight="1">
      <c r="B28" s="10" t="s">
        <v>19</v>
      </c>
      <c r="C28" s="10"/>
      <c r="D28" s="13"/>
      <c r="E28" s="13">
        <f t="shared" ref="E28:H28" si="8">+E27-D27</f>
        <v>-1354</v>
      </c>
      <c r="F28" s="13">
        <f t="shared" si="8"/>
        <v>-33</v>
      </c>
      <c r="G28" s="13">
        <f t="shared" si="8"/>
        <v>1189</v>
      </c>
      <c r="H28" s="13">
        <f t="shared" si="8"/>
        <v>2517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F223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.38"/>
    <col customWidth="1" min="2" max="11" width="12.75"/>
    <col customWidth="1" min="12" max="26" width="8.63"/>
  </cols>
  <sheetData>
    <row r="1" ht="14.2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ht="14.25" customHeight="1">
      <c r="B2" s="4" t="s">
        <v>20</v>
      </c>
      <c r="C2" s="5"/>
      <c r="D2" s="5"/>
      <c r="E2" s="5"/>
      <c r="F2" s="5"/>
      <c r="G2" s="5"/>
      <c r="H2" s="2"/>
      <c r="I2" s="2"/>
      <c r="J2" s="2"/>
      <c r="K2" s="2"/>
    </row>
    <row r="3" ht="14.25" customHeight="1">
      <c r="B3" s="7" t="str">
        <f>'Cover Page'!D5&amp;" | "&amp;TEXT(TODAY(),"mmmm d, yyyy")</f>
        <v>Caterpillar Inc. | July 1, 2026</v>
      </c>
      <c r="C3" s="8"/>
      <c r="D3" s="8"/>
      <c r="E3" s="8"/>
      <c r="F3" s="8"/>
      <c r="G3" s="8"/>
      <c r="H3" s="8"/>
      <c r="I3" s="9"/>
      <c r="J3" s="9"/>
      <c r="K3" s="9"/>
    </row>
    <row r="4" ht="14.25" customHeight="1"/>
    <row r="5" ht="14.25" customHeight="1">
      <c r="B5" s="26" t="s">
        <v>2</v>
      </c>
      <c r="C5" s="27"/>
      <c r="D5" s="27"/>
      <c r="E5" s="27"/>
      <c r="F5" s="27"/>
      <c r="G5" s="27"/>
      <c r="H5" s="27"/>
      <c r="I5" s="27"/>
      <c r="J5" s="27"/>
      <c r="K5" s="27"/>
    </row>
    <row r="6" ht="14.25" customHeight="1">
      <c r="K6" s="28"/>
    </row>
    <row r="7" ht="14.25" customHeight="1">
      <c r="B7" s="9"/>
      <c r="C7" s="29"/>
      <c r="D7" s="5">
        <v>2026.0</v>
      </c>
      <c r="E7" s="5">
        <f t="shared" ref="E7:J7" si="1">+D7+1</f>
        <v>2027</v>
      </c>
      <c r="F7" s="5">
        <f t="shared" si="1"/>
        <v>2028</v>
      </c>
      <c r="G7" s="5">
        <f t="shared" si="1"/>
        <v>2029</v>
      </c>
      <c r="H7" s="5">
        <f t="shared" si="1"/>
        <v>2030</v>
      </c>
      <c r="I7" s="5">
        <f t="shared" si="1"/>
        <v>2031</v>
      </c>
      <c r="J7" s="5">
        <f t="shared" si="1"/>
        <v>2032</v>
      </c>
    </row>
    <row r="8" ht="14.25" customHeight="1">
      <c r="B8" s="10"/>
      <c r="C8" s="10"/>
      <c r="D8" s="10"/>
      <c r="E8" s="10"/>
      <c r="F8" s="10"/>
      <c r="G8" s="10"/>
      <c r="H8" s="10"/>
      <c r="I8" s="10"/>
      <c r="J8" s="10"/>
    </row>
    <row r="9" ht="14.25" customHeight="1">
      <c r="B9" s="10" t="s">
        <v>11</v>
      </c>
      <c r="C9" s="10"/>
      <c r="D9" s="13">
        <f>+'Historic FCFF'!H19*(1+'Estimated FCFF'!D10)</f>
        <v>72725.764</v>
      </c>
      <c r="E9" s="13">
        <f t="shared" ref="E9:J9" si="2">+D9*(1+E10)</f>
        <v>77816.56748</v>
      </c>
      <c r="F9" s="13">
        <f t="shared" si="2"/>
        <v>81707.39585</v>
      </c>
      <c r="G9" s="13">
        <f t="shared" si="2"/>
        <v>85792.76565</v>
      </c>
      <c r="H9" s="13">
        <f t="shared" si="2"/>
        <v>90082.40393</v>
      </c>
      <c r="I9" s="13">
        <f t="shared" si="2"/>
        <v>94586.52413</v>
      </c>
      <c r="J9" s="13">
        <f t="shared" si="2"/>
        <v>99315.85033</v>
      </c>
    </row>
    <row r="10" ht="14.25" customHeight="1">
      <c r="B10" s="10" t="s">
        <v>21</v>
      </c>
      <c r="C10" s="10"/>
      <c r="D10" s="30">
        <v>0.076</v>
      </c>
      <c r="E10" s="30">
        <v>0.07</v>
      </c>
      <c r="F10" s="30">
        <v>0.05</v>
      </c>
      <c r="G10" s="30">
        <v>0.05</v>
      </c>
      <c r="H10" s="30">
        <v>0.05</v>
      </c>
      <c r="I10" s="30">
        <v>0.05</v>
      </c>
      <c r="J10" s="30">
        <v>0.05</v>
      </c>
    </row>
    <row r="11" ht="14.25" customHeight="1">
      <c r="B11" s="10" t="s">
        <v>13</v>
      </c>
      <c r="C11" s="10"/>
      <c r="D11" s="30">
        <v>0.141</v>
      </c>
      <c r="E11" s="30">
        <v>0.141</v>
      </c>
      <c r="F11" s="30">
        <v>0.141</v>
      </c>
      <c r="G11" s="30">
        <v>0.141</v>
      </c>
      <c r="H11" s="30">
        <v>0.141</v>
      </c>
      <c r="I11" s="30">
        <v>0.141</v>
      </c>
      <c r="J11" s="30">
        <v>0.141</v>
      </c>
    </row>
    <row r="12" ht="14.25" customHeight="1">
      <c r="B12" s="10" t="s">
        <v>9</v>
      </c>
      <c r="C12" s="10"/>
      <c r="D12" s="13">
        <f t="shared" ref="D12:J12" si="3">+D9*D11</f>
        <v>10254.33272</v>
      </c>
      <c r="E12" s="13">
        <f t="shared" si="3"/>
        <v>10972.13601</v>
      </c>
      <c r="F12" s="13">
        <f t="shared" si="3"/>
        <v>11520.74282</v>
      </c>
      <c r="G12" s="13">
        <f t="shared" si="3"/>
        <v>12096.77996</v>
      </c>
      <c r="H12" s="13">
        <f t="shared" si="3"/>
        <v>12701.61895</v>
      </c>
      <c r="I12" s="13">
        <f t="shared" si="3"/>
        <v>13336.6999</v>
      </c>
      <c r="J12" s="13">
        <f t="shared" si="3"/>
        <v>14003.5349</v>
      </c>
    </row>
    <row r="13" ht="14.25" customHeight="1">
      <c r="B13" s="31" t="s">
        <v>22</v>
      </c>
      <c r="C13" s="31"/>
      <c r="D13" s="31"/>
      <c r="E13" s="31"/>
      <c r="F13" s="31"/>
      <c r="G13" s="31"/>
      <c r="H13" s="31"/>
      <c r="I13" s="31"/>
      <c r="J13" s="32">
        <f>+(J12*(1+D17))/(D16-D17)</f>
        <v>212112.3668</v>
      </c>
    </row>
    <row r="14" ht="14.25" customHeight="1">
      <c r="B14" s="19" t="s">
        <v>23</v>
      </c>
      <c r="C14" s="10"/>
      <c r="D14" s="20">
        <f t="shared" ref="D14:J14" si="4">+SUM(D12:D13)</f>
        <v>10254.33272</v>
      </c>
      <c r="E14" s="20">
        <f t="shared" si="4"/>
        <v>10972.13601</v>
      </c>
      <c r="F14" s="20">
        <f t="shared" si="4"/>
        <v>11520.74282</v>
      </c>
      <c r="G14" s="20">
        <f t="shared" si="4"/>
        <v>12096.77996</v>
      </c>
      <c r="H14" s="20">
        <f t="shared" si="4"/>
        <v>12701.61895</v>
      </c>
      <c r="I14" s="20">
        <f t="shared" si="4"/>
        <v>13336.6999</v>
      </c>
      <c r="J14" s="20">
        <f t="shared" si="4"/>
        <v>226115.9017</v>
      </c>
      <c r="K14" s="20"/>
    </row>
    <row r="15" ht="14.25" customHeight="1"/>
    <row r="16" ht="14.25" customHeight="1">
      <c r="B16" s="10" t="s">
        <v>24</v>
      </c>
      <c r="C16" s="10"/>
      <c r="D16" s="30">
        <v>0.098</v>
      </c>
    </row>
    <row r="17" ht="14.25" customHeight="1">
      <c r="B17" s="10" t="s">
        <v>25</v>
      </c>
      <c r="C17" s="10"/>
      <c r="D17" s="33">
        <v>0.03</v>
      </c>
    </row>
    <row r="18" ht="14.25" customHeight="1">
      <c r="B18" s="10"/>
      <c r="C18" s="10"/>
      <c r="D18" s="33"/>
    </row>
    <row r="19" ht="14.25" customHeight="1">
      <c r="B19" s="10" t="s">
        <v>26</v>
      </c>
      <c r="C19" s="10"/>
      <c r="D19" s="13">
        <f>+XNPV(D16,D14:J14,D7:J7)</f>
        <v>296602.8997</v>
      </c>
    </row>
    <row r="20" ht="14.25" customHeight="1">
      <c r="B20" s="10" t="s">
        <v>27</v>
      </c>
      <c r="C20" s="10"/>
      <c r="D20" s="34">
        <f>+'Input Data'!J37</f>
        <v>9980</v>
      </c>
    </row>
    <row r="21" ht="14.25" customHeight="1">
      <c r="B21" s="10" t="s">
        <v>28</v>
      </c>
      <c r="C21" s="10"/>
      <c r="D21" s="34">
        <f>+'Input Data'!J56+'Input Data'!J53+'Input Data'!J50</f>
        <v>43330</v>
      </c>
    </row>
    <row r="22" ht="14.25" customHeight="1">
      <c r="B22" s="10" t="s">
        <v>29</v>
      </c>
      <c r="C22" s="10"/>
      <c r="D22" s="13">
        <f>+D19+D20-D21</f>
        <v>263252.8997</v>
      </c>
    </row>
    <row r="23" ht="14.25" customHeight="1">
      <c r="B23" s="10"/>
      <c r="C23" s="10"/>
      <c r="D23" s="10"/>
    </row>
    <row r="24" ht="14.25" customHeight="1">
      <c r="B24" s="10" t="s">
        <v>30</v>
      </c>
      <c r="C24" s="10"/>
      <c r="D24" s="35">
        <v>478.0</v>
      </c>
    </row>
    <row r="25" ht="14.25" customHeight="1">
      <c r="B25" s="19" t="s">
        <v>31</v>
      </c>
      <c r="C25" s="19"/>
      <c r="D25" s="20">
        <f>+D22/D24</f>
        <v>550.7382839</v>
      </c>
    </row>
    <row r="26" ht="14.25" customHeight="1">
      <c r="B26" s="10"/>
      <c r="C26" s="10"/>
      <c r="D26" s="1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4" width="8.63"/>
    <col customWidth="1" min="5" max="11" width="12.75"/>
    <col customWidth="1" min="12" max="26" width="8.63"/>
  </cols>
  <sheetData>
    <row r="1" ht="14.25" customHeight="1"/>
    <row r="2" ht="14.25" customHeight="1">
      <c r="B2" s="36" t="s">
        <v>32</v>
      </c>
      <c r="C2" s="37"/>
      <c r="D2" s="37"/>
      <c r="J2" s="37"/>
    </row>
    <row r="3" ht="14.25" customHeight="1">
      <c r="B3" s="10"/>
      <c r="C3" s="10"/>
      <c r="D3" s="10"/>
    </row>
    <row r="4" ht="14.25" customHeight="1">
      <c r="B4" s="38" t="s">
        <v>33</v>
      </c>
      <c r="C4" s="10"/>
      <c r="D4" s="10"/>
      <c r="F4" s="19">
        <v>2021.0</v>
      </c>
      <c r="G4" s="19">
        <f t="shared" ref="G4:J4" si="1">+F4+1</f>
        <v>2022</v>
      </c>
      <c r="H4" s="19">
        <f t="shared" si="1"/>
        <v>2023</v>
      </c>
      <c r="I4" s="19">
        <f t="shared" si="1"/>
        <v>2024</v>
      </c>
      <c r="J4" s="19">
        <f t="shared" si="1"/>
        <v>2025</v>
      </c>
      <c r="K4" s="28" t="s">
        <v>34</v>
      </c>
    </row>
    <row r="5" ht="14.25" customHeight="1"/>
    <row r="6" ht="14.25" customHeight="1">
      <c r="B6" s="39" t="s">
        <v>35</v>
      </c>
      <c r="C6" s="10"/>
      <c r="D6" s="10"/>
      <c r="F6" s="40"/>
      <c r="G6" s="40"/>
      <c r="H6" s="40"/>
      <c r="I6" s="40"/>
      <c r="J6" s="40"/>
    </row>
    <row r="7" ht="14.25" customHeight="1">
      <c r="B7" s="40" t="s">
        <v>36</v>
      </c>
      <c r="C7" s="10"/>
      <c r="D7" s="10"/>
      <c r="F7" s="40">
        <v>48188.0</v>
      </c>
      <c r="G7" s="40">
        <v>56574.0</v>
      </c>
      <c r="H7" s="40">
        <v>63869.0</v>
      </c>
      <c r="I7" s="40">
        <v>61363.0</v>
      </c>
      <c r="J7" s="40">
        <v>63980.0</v>
      </c>
    </row>
    <row r="8" ht="14.25" customHeight="1">
      <c r="B8" s="40" t="s">
        <v>37</v>
      </c>
      <c r="C8" s="10"/>
      <c r="D8" s="10"/>
      <c r="F8" s="40">
        <v>2783.0</v>
      </c>
      <c r="G8" s="40">
        <v>2853.0</v>
      </c>
      <c r="H8" s="40">
        <v>3191.0</v>
      </c>
      <c r="I8" s="40">
        <v>3446.0</v>
      </c>
      <c r="J8" s="40">
        <v>3609.0</v>
      </c>
    </row>
    <row r="9" ht="14.25" customHeight="1">
      <c r="B9" s="39" t="s">
        <v>38</v>
      </c>
      <c r="C9" s="10"/>
      <c r="D9" s="10"/>
      <c r="F9" s="39">
        <v>50971.0</v>
      </c>
      <c r="G9" s="39">
        <v>59427.0</v>
      </c>
      <c r="H9" s="39">
        <v>67060.0</v>
      </c>
      <c r="I9" s="39">
        <v>64809.0</v>
      </c>
      <c r="J9" s="39">
        <v>67589.0</v>
      </c>
    </row>
    <row r="10" ht="14.25" customHeight="1">
      <c r="B10" s="40"/>
      <c r="C10" s="10"/>
      <c r="D10" s="10"/>
      <c r="F10" s="40"/>
      <c r="G10" s="40"/>
      <c r="H10" s="40"/>
      <c r="I10" s="40"/>
      <c r="J10" s="40"/>
    </row>
    <row r="11" ht="14.25" customHeight="1">
      <c r="B11" s="39" t="s">
        <v>39</v>
      </c>
      <c r="C11" s="10"/>
      <c r="D11" s="10"/>
      <c r="F11" s="40"/>
      <c r="G11" s="40"/>
      <c r="H11" s="40"/>
      <c r="I11" s="40"/>
      <c r="J11" s="40"/>
    </row>
    <row r="12" ht="14.25" customHeight="1">
      <c r="B12" s="40" t="s">
        <v>40</v>
      </c>
      <c r="C12" s="10"/>
      <c r="D12" s="10"/>
      <c r="F12" s="40">
        <v>35513.0</v>
      </c>
      <c r="G12" s="40">
        <v>41350.0</v>
      </c>
      <c r="H12" s="40">
        <v>42767.0</v>
      </c>
      <c r="I12" s="40">
        <v>40199.0</v>
      </c>
      <c r="J12" s="40">
        <v>44752.0</v>
      </c>
    </row>
    <row r="13" ht="14.25" customHeight="1">
      <c r="B13" s="40" t="s">
        <v>41</v>
      </c>
      <c r="C13" s="10"/>
      <c r="D13" s="10"/>
      <c r="F13" s="40">
        <v>5365.0</v>
      </c>
      <c r="G13" s="40">
        <v>5651.0</v>
      </c>
      <c r="H13" s="40">
        <v>6371.0</v>
      </c>
      <c r="I13" s="40">
        <v>6667.0</v>
      </c>
      <c r="J13" s="40">
        <v>6985.0</v>
      </c>
    </row>
    <row r="14" ht="14.25" customHeight="1">
      <c r="B14" s="41" t="s">
        <v>42</v>
      </c>
      <c r="C14" s="10"/>
      <c r="D14" s="10"/>
      <c r="F14" s="10">
        <v>3013.0</v>
      </c>
      <c r="G14" s="10">
        <v>3432.0</v>
      </c>
      <c r="H14" s="10">
        <v>4227.0</v>
      </c>
      <c r="I14" s="10">
        <v>4514.0</v>
      </c>
      <c r="J14" s="10">
        <v>4723.0</v>
      </c>
    </row>
    <row r="15" ht="14.25" customHeight="1">
      <c r="B15" s="41" t="s">
        <v>5</v>
      </c>
      <c r="C15" s="10"/>
      <c r="D15" s="10"/>
      <c r="F15" s="40">
        <v>2352.0</v>
      </c>
      <c r="G15" s="40">
        <v>2219.0</v>
      </c>
      <c r="H15" s="40">
        <v>2144.0</v>
      </c>
      <c r="I15" s="40">
        <v>2153.0</v>
      </c>
      <c r="J15" s="40">
        <v>2262.0</v>
      </c>
    </row>
    <row r="16" ht="14.25" customHeight="1">
      <c r="B16" s="40" t="s">
        <v>43</v>
      </c>
      <c r="C16" s="10"/>
      <c r="D16" s="10"/>
      <c r="F16" s="40">
        <v>1686.0</v>
      </c>
      <c r="G16" s="40">
        <v>1814.0</v>
      </c>
      <c r="H16" s="40">
        <v>2108.0</v>
      </c>
      <c r="I16" s="40">
        <v>2107.0</v>
      </c>
      <c r="J16" s="40">
        <v>2148.0</v>
      </c>
    </row>
    <row r="17" ht="14.25" customHeight="1">
      <c r="B17" s="40" t="s">
        <v>44</v>
      </c>
      <c r="C17" s="10"/>
      <c r="D17" s="10"/>
      <c r="F17" s="40">
        <v>455.0</v>
      </c>
      <c r="G17" s="40">
        <v>565.0</v>
      </c>
      <c r="H17" s="40">
        <v>1030.0</v>
      </c>
      <c r="I17" s="40">
        <v>1286.0</v>
      </c>
      <c r="J17" s="40">
        <v>1359.0</v>
      </c>
    </row>
    <row r="18" ht="14.25" customHeight="1">
      <c r="B18" s="40" t="s">
        <v>45</v>
      </c>
      <c r="C18" s="10"/>
      <c r="D18" s="10"/>
      <c r="F18" s="40">
        <v>0.0</v>
      </c>
      <c r="G18" s="40">
        <v>925.0</v>
      </c>
      <c r="H18" s="40">
        <v>0.0</v>
      </c>
      <c r="I18" s="40">
        <v>0.0</v>
      </c>
      <c r="J18" s="40">
        <v>0.0</v>
      </c>
    </row>
    <row r="19" ht="14.25" customHeight="1">
      <c r="B19" s="40" t="s">
        <v>46</v>
      </c>
      <c r="C19" s="19"/>
      <c r="D19" s="19"/>
      <c r="F19" s="40">
        <v>1074.0</v>
      </c>
      <c r="G19" s="40">
        <v>1218.0</v>
      </c>
      <c r="H19" s="40">
        <v>1818.0</v>
      </c>
      <c r="I19" s="40">
        <v>1478.0</v>
      </c>
      <c r="J19" s="40">
        <v>1194.0</v>
      </c>
      <c r="K19" s="18"/>
    </row>
    <row r="20" ht="14.25" customHeight="1">
      <c r="B20" s="39" t="s">
        <v>47</v>
      </c>
      <c r="C20" s="10"/>
      <c r="D20" s="10"/>
      <c r="F20" s="39">
        <v>44093.0</v>
      </c>
      <c r="G20" s="39">
        <v>51523.0</v>
      </c>
      <c r="H20" s="39">
        <v>54094.0</v>
      </c>
      <c r="I20" s="39">
        <v>51737.0</v>
      </c>
      <c r="J20" s="39">
        <v>56438.0</v>
      </c>
    </row>
    <row r="21" ht="14.25" customHeight="1">
      <c r="B21" s="40"/>
      <c r="C21" s="10"/>
      <c r="D21" s="10"/>
      <c r="F21" s="40"/>
      <c r="G21" s="40"/>
      <c r="H21" s="40"/>
      <c r="I21" s="40"/>
      <c r="J21" s="40"/>
    </row>
    <row r="22" ht="14.25" customHeight="1">
      <c r="B22" s="39" t="s">
        <v>48</v>
      </c>
      <c r="C22" s="10"/>
      <c r="D22" s="10"/>
      <c r="F22" s="39">
        <v>6878.0</v>
      </c>
      <c r="G22" s="39">
        <v>7904.0</v>
      </c>
      <c r="H22" s="39">
        <v>12966.0</v>
      </c>
      <c r="I22" s="39">
        <v>13072.0</v>
      </c>
      <c r="J22" s="39">
        <v>11151.0</v>
      </c>
    </row>
    <row r="23" ht="14.25" customHeight="1">
      <c r="B23" s="40"/>
      <c r="C23" s="10"/>
      <c r="D23" s="10"/>
      <c r="F23" s="40"/>
      <c r="G23" s="40"/>
      <c r="H23" s="40"/>
      <c r="I23" s="40"/>
      <c r="J23" s="40"/>
    </row>
    <row r="24" ht="14.25" customHeight="1">
      <c r="B24" s="40" t="s">
        <v>49</v>
      </c>
      <c r="C24" s="10"/>
      <c r="D24" s="10"/>
      <c r="F24" s="40">
        <v>488.0</v>
      </c>
      <c r="G24" s="40">
        <v>443.0</v>
      </c>
      <c r="H24" s="40">
        <v>511.0</v>
      </c>
      <c r="I24" s="40">
        <v>512.0</v>
      </c>
      <c r="J24" s="40">
        <v>502.0</v>
      </c>
    </row>
    <row r="25" ht="14.25" customHeight="1">
      <c r="B25" s="40" t="s">
        <v>50</v>
      </c>
      <c r="C25" s="10"/>
      <c r="D25" s="10"/>
      <c r="F25" s="40">
        <v>1814.0</v>
      </c>
      <c r="G25" s="40">
        <v>1291.0</v>
      </c>
      <c r="H25" s="40">
        <v>595.0</v>
      </c>
      <c r="I25" s="40">
        <v>813.0</v>
      </c>
      <c r="J25" s="40">
        <v>892.0</v>
      </c>
    </row>
    <row r="26" ht="14.25" customHeight="1">
      <c r="B26" s="39" t="s">
        <v>51</v>
      </c>
      <c r="C26" s="10"/>
      <c r="D26" s="10"/>
      <c r="F26" s="39">
        <v>8204.0</v>
      </c>
      <c r="G26" s="39">
        <v>8752.0</v>
      </c>
      <c r="H26" s="39">
        <v>13050.0</v>
      </c>
      <c r="I26" s="39">
        <v>13373.0</v>
      </c>
      <c r="J26" s="39">
        <v>11541.0</v>
      </c>
    </row>
    <row r="27" ht="14.25" customHeight="1">
      <c r="B27" s="40"/>
      <c r="C27" s="10"/>
      <c r="D27" s="10"/>
      <c r="F27" s="40"/>
      <c r="G27" s="40"/>
      <c r="H27" s="40"/>
      <c r="I27" s="40"/>
      <c r="J27" s="40"/>
    </row>
    <row r="28" ht="14.25" customHeight="1">
      <c r="B28" s="40" t="s">
        <v>52</v>
      </c>
      <c r="C28" s="10"/>
      <c r="D28" s="10"/>
      <c r="F28" s="40">
        <v>1742.0</v>
      </c>
      <c r="G28" s="40">
        <v>2067.0</v>
      </c>
      <c r="H28" s="40">
        <v>2781.0</v>
      </c>
      <c r="I28" s="40">
        <v>2629.0</v>
      </c>
      <c r="J28" s="40">
        <v>2768.0</v>
      </c>
    </row>
    <row r="29" ht="14.25" customHeight="1">
      <c r="B29" s="40" t="s">
        <v>53</v>
      </c>
      <c r="C29" s="19"/>
      <c r="D29" s="19"/>
      <c r="F29" s="40">
        <v>31.0</v>
      </c>
      <c r="G29" s="40">
        <v>19.0</v>
      </c>
      <c r="H29" s="40">
        <v>63.0</v>
      </c>
      <c r="I29" s="40">
        <v>44.0</v>
      </c>
      <c r="J29" s="40">
        <v>109.0</v>
      </c>
      <c r="K29" s="18"/>
    </row>
    <row r="30" ht="14.25" customHeight="1">
      <c r="B30" s="40" t="s">
        <v>54</v>
      </c>
      <c r="C30" s="10"/>
      <c r="D30" s="10"/>
      <c r="F30" s="40">
        <v>4.0</v>
      </c>
      <c r="G30" s="40">
        <v>-1.0</v>
      </c>
      <c r="H30" s="40">
        <v>-3.0</v>
      </c>
      <c r="I30" s="40">
        <v>-4.0</v>
      </c>
      <c r="J30" s="40">
        <v>-2.0</v>
      </c>
    </row>
    <row r="31" ht="14.25" customHeight="1">
      <c r="B31" s="39" t="s">
        <v>55</v>
      </c>
      <c r="C31" s="19"/>
      <c r="D31" s="19"/>
      <c r="F31" s="39">
        <v>6489.0</v>
      </c>
      <c r="G31" s="39">
        <v>6705.0</v>
      </c>
      <c r="H31" s="39">
        <v>10335.0</v>
      </c>
      <c r="I31" s="39">
        <v>10792.0</v>
      </c>
      <c r="J31" s="39">
        <v>8884.0</v>
      </c>
      <c r="K31" s="18"/>
    </row>
    <row r="32" ht="14.25" customHeight="1">
      <c r="B32" s="18"/>
      <c r="F32" s="18"/>
      <c r="G32" s="18"/>
      <c r="H32" s="18"/>
    </row>
    <row r="33" ht="14.25" customHeight="1">
      <c r="B33" s="18"/>
      <c r="F33" s="18"/>
      <c r="G33" s="18"/>
      <c r="H33" s="18"/>
    </row>
    <row r="34" ht="14.25" customHeight="1">
      <c r="B34" s="38" t="s">
        <v>56</v>
      </c>
      <c r="F34" s="39">
        <v>2021.0</v>
      </c>
      <c r="G34" s="39">
        <v>2022.0</v>
      </c>
      <c r="H34" s="39">
        <v>2023.0</v>
      </c>
      <c r="I34" s="39">
        <v>2024.0</v>
      </c>
      <c r="J34" s="39">
        <v>2025.0</v>
      </c>
    </row>
    <row r="35" ht="14.25" customHeight="1">
      <c r="B35" s="42"/>
    </row>
    <row r="36" ht="14.25" customHeight="1">
      <c r="B36" s="43" t="s">
        <v>57</v>
      </c>
    </row>
    <row r="37" ht="14.25" customHeight="1">
      <c r="B37" s="44" t="s">
        <v>58</v>
      </c>
      <c r="F37" s="40">
        <v>9254.0</v>
      </c>
      <c r="G37" s="40">
        <v>7004.0</v>
      </c>
      <c r="H37" s="40">
        <v>6978.0</v>
      </c>
      <c r="I37" s="40">
        <v>6889.0</v>
      </c>
      <c r="J37" s="40">
        <v>9980.0</v>
      </c>
    </row>
    <row r="38" ht="14.25" customHeight="1">
      <c r="B38" s="44" t="s">
        <v>59</v>
      </c>
      <c r="F38" s="40">
        <v>8477.0</v>
      </c>
      <c r="G38" s="40">
        <v>8856.0</v>
      </c>
      <c r="H38" s="40">
        <v>9310.0</v>
      </c>
      <c r="I38" s="40">
        <v>9282.0</v>
      </c>
      <c r="J38" s="40">
        <v>10920.0</v>
      </c>
    </row>
    <row r="39" ht="14.25" customHeight="1">
      <c r="B39" s="44" t="s">
        <v>60</v>
      </c>
      <c r="F39" s="40">
        <v>8898.0</v>
      </c>
      <c r="G39" s="40">
        <v>9013.0</v>
      </c>
      <c r="H39" s="40">
        <v>9510.0</v>
      </c>
      <c r="I39" s="40">
        <v>9565.0</v>
      </c>
      <c r="J39" s="40">
        <v>10649.0</v>
      </c>
    </row>
    <row r="40" ht="14.25" customHeight="1">
      <c r="B40" s="44" t="s">
        <v>61</v>
      </c>
      <c r="F40" s="40">
        <v>14038.0</v>
      </c>
      <c r="G40" s="40">
        <v>16270.0</v>
      </c>
      <c r="H40" s="40">
        <v>16565.0</v>
      </c>
      <c r="I40" s="40">
        <v>16827.0</v>
      </c>
      <c r="J40" s="40">
        <v>18135.0</v>
      </c>
    </row>
    <row r="41" ht="14.25" customHeight="1">
      <c r="B41" s="44" t="s">
        <v>62</v>
      </c>
      <c r="F41" s="40">
        <v>2788.0</v>
      </c>
      <c r="G41" s="40">
        <v>2642.0</v>
      </c>
      <c r="H41" s="40">
        <v>4586.0</v>
      </c>
      <c r="I41" s="40">
        <v>3119.0</v>
      </c>
      <c r="J41" s="40">
        <v>2801.0</v>
      </c>
    </row>
    <row r="42" ht="14.25" customHeight="1">
      <c r="B42" s="43" t="s">
        <v>63</v>
      </c>
      <c r="F42" s="39">
        <v>43455.0</v>
      </c>
      <c r="G42" s="39">
        <v>43785.0</v>
      </c>
      <c r="H42" s="39">
        <v>46949.0</v>
      </c>
      <c r="I42" s="39">
        <v>45682.0</v>
      </c>
      <c r="J42" s="39">
        <v>52485.0</v>
      </c>
    </row>
    <row r="43" ht="14.25" customHeight="1">
      <c r="B43" s="44" t="s">
        <v>64</v>
      </c>
      <c r="C43" s="18"/>
      <c r="D43" s="18"/>
      <c r="F43" s="40">
        <v>12090.0</v>
      </c>
      <c r="G43" s="40">
        <v>12028.0</v>
      </c>
      <c r="H43" s="40">
        <v>12680.0</v>
      </c>
      <c r="I43" s="40">
        <v>13361.0</v>
      </c>
      <c r="J43" s="40">
        <v>15140.0</v>
      </c>
      <c r="K43" s="18"/>
    </row>
    <row r="44" ht="14.25" customHeight="1">
      <c r="B44" s="44" t="s">
        <v>65</v>
      </c>
      <c r="C44" s="18"/>
      <c r="D44" s="18"/>
      <c r="F44" s="40">
        <v>13911.0</v>
      </c>
      <c r="G44" s="40">
        <v>13278.0</v>
      </c>
      <c r="H44" s="40">
        <v>13902.0</v>
      </c>
      <c r="I44" s="40">
        <v>14467.0</v>
      </c>
      <c r="J44" s="40">
        <v>16414.0</v>
      </c>
      <c r="K44" s="18"/>
    </row>
    <row r="45" ht="14.25" customHeight="1">
      <c r="B45" s="44" t="s">
        <v>66</v>
      </c>
      <c r="F45" s="40">
        <v>7366.0</v>
      </c>
      <c r="G45" s="40">
        <v>6046.0</v>
      </c>
      <c r="H45" s="40">
        <v>5872.0</v>
      </c>
      <c r="I45" s="40">
        <v>5640.0</v>
      </c>
      <c r="J45" s="40">
        <v>5562.0</v>
      </c>
    </row>
    <row r="46" ht="14.25" customHeight="1">
      <c r="B46" s="44" t="s">
        <v>67</v>
      </c>
      <c r="C46" s="18"/>
      <c r="D46" s="18"/>
      <c r="F46" s="40">
        <v>5971.0</v>
      </c>
      <c r="G46" s="40">
        <v>6806.0</v>
      </c>
      <c r="H46" s="40">
        <v>8073.0</v>
      </c>
      <c r="I46" s="40">
        <v>8614.0</v>
      </c>
      <c r="J46" s="40">
        <v>8984.0</v>
      </c>
    </row>
    <row r="47" ht="14.25" customHeight="1">
      <c r="B47" s="43" t="s">
        <v>68</v>
      </c>
      <c r="F47" s="39">
        <v>82793.0</v>
      </c>
      <c r="G47" s="39">
        <v>81943.0</v>
      </c>
      <c r="H47" s="39">
        <v>87476.0</v>
      </c>
      <c r="I47" s="39">
        <v>87764.0</v>
      </c>
      <c r="J47" s="39">
        <v>98585.0</v>
      </c>
    </row>
    <row r="48" ht="14.25" customHeight="1">
      <c r="B48" s="44"/>
      <c r="F48" s="40"/>
      <c r="G48" s="40"/>
      <c r="H48" s="40"/>
      <c r="I48" s="40"/>
      <c r="J48" s="40"/>
    </row>
    <row r="49" ht="14.25" customHeight="1">
      <c r="B49" s="43" t="s">
        <v>69</v>
      </c>
      <c r="C49" s="18"/>
      <c r="D49" s="18"/>
      <c r="F49" s="40"/>
      <c r="G49" s="40"/>
      <c r="H49" s="40"/>
      <c r="I49" s="40"/>
      <c r="J49" s="40"/>
    </row>
    <row r="50" ht="14.25" customHeight="1">
      <c r="B50" s="44" t="s">
        <v>70</v>
      </c>
      <c r="F50" s="40">
        <v>5404.0</v>
      </c>
      <c r="G50" s="40">
        <v>5957.0</v>
      </c>
      <c r="H50" s="40">
        <v>4643.0</v>
      </c>
      <c r="I50" s="40">
        <v>4393.0</v>
      </c>
      <c r="J50" s="40">
        <v>5514.0</v>
      </c>
    </row>
    <row r="51" ht="14.25" customHeight="1">
      <c r="B51" s="44" t="s">
        <v>71</v>
      </c>
      <c r="C51" s="18"/>
      <c r="D51" s="18"/>
      <c r="F51" s="40">
        <v>8154.0</v>
      </c>
      <c r="G51" s="40">
        <v>8689.0</v>
      </c>
      <c r="H51" s="40">
        <v>7906.0</v>
      </c>
      <c r="I51" s="40">
        <v>7675.0</v>
      </c>
      <c r="J51" s="40">
        <v>8968.0</v>
      </c>
    </row>
    <row r="52" ht="14.25" customHeight="1">
      <c r="B52" s="44" t="s">
        <v>72</v>
      </c>
      <c r="F52" s="40">
        <v>5999.0</v>
      </c>
      <c r="G52" s="40">
        <v>6393.0</v>
      </c>
      <c r="H52" s="40">
        <v>7715.0</v>
      </c>
      <c r="I52" s="40">
        <v>7634.0</v>
      </c>
      <c r="J52" s="40">
        <v>8141.0</v>
      </c>
    </row>
    <row r="53" ht="14.25" customHeight="1">
      <c r="B53" s="44" t="s">
        <v>73</v>
      </c>
      <c r="F53" s="40">
        <v>6352.0</v>
      </c>
      <c r="G53" s="40">
        <v>5322.0</v>
      </c>
      <c r="H53" s="40">
        <v>8763.0</v>
      </c>
      <c r="I53" s="40">
        <v>6665.0</v>
      </c>
      <c r="J53" s="40">
        <v>7120.0</v>
      </c>
    </row>
    <row r="54" ht="14.25" customHeight="1">
      <c r="B54" s="44" t="s">
        <v>74</v>
      </c>
      <c r="F54" s="40">
        <v>3938.0</v>
      </c>
      <c r="G54" s="40">
        <v>5170.0</v>
      </c>
      <c r="H54" s="40">
        <v>5701.0</v>
      </c>
      <c r="I54" s="40">
        <v>5905.0</v>
      </c>
      <c r="J54" s="40">
        <v>6815.0</v>
      </c>
    </row>
    <row r="55" ht="14.25" customHeight="1">
      <c r="B55" s="43" t="s">
        <v>75</v>
      </c>
      <c r="F55" s="39">
        <v>29847.0</v>
      </c>
      <c r="G55" s="39">
        <v>31531.0</v>
      </c>
      <c r="H55" s="39">
        <v>34728.0</v>
      </c>
      <c r="I55" s="39">
        <v>32272.0</v>
      </c>
      <c r="J55" s="39">
        <v>36558.0</v>
      </c>
    </row>
    <row r="56" ht="14.25" customHeight="1">
      <c r="B56" s="44" t="s">
        <v>76</v>
      </c>
      <c r="F56" s="40">
        <v>26033.0</v>
      </c>
      <c r="G56" s="40">
        <v>25714.0</v>
      </c>
      <c r="H56" s="40">
        <v>24472.0</v>
      </c>
      <c r="I56" s="40">
        <v>27351.0</v>
      </c>
      <c r="J56" s="40">
        <v>30696.0</v>
      </c>
    </row>
    <row r="57" ht="14.25" customHeight="1">
      <c r="B57" s="44" t="s">
        <v>77</v>
      </c>
      <c r="C57" s="18"/>
      <c r="D57" s="18"/>
      <c r="F57" s="40">
        <v>10397.0</v>
      </c>
      <c r="G57" s="40">
        <v>8807.0</v>
      </c>
      <c r="H57" s="40">
        <v>8773.0</v>
      </c>
      <c r="I57" s="40">
        <v>8647.0</v>
      </c>
      <c r="J57" s="40">
        <v>10013.0</v>
      </c>
    </row>
    <row r="58" ht="14.25" customHeight="1">
      <c r="B58" s="43" t="s">
        <v>78</v>
      </c>
      <c r="C58" s="18"/>
      <c r="D58" s="18"/>
      <c r="F58" s="39">
        <v>66277.0</v>
      </c>
      <c r="G58" s="39">
        <v>66052.0</v>
      </c>
      <c r="H58" s="39">
        <v>67973.0</v>
      </c>
      <c r="I58" s="39">
        <v>68270.0</v>
      </c>
      <c r="J58" s="39">
        <v>77267.0</v>
      </c>
    </row>
    <row r="59" ht="14.25" customHeight="1">
      <c r="B59" s="44"/>
      <c r="C59" s="18"/>
      <c r="D59" s="18"/>
      <c r="F59" s="40"/>
      <c r="G59" s="40"/>
      <c r="H59" s="40"/>
      <c r="I59" s="40"/>
      <c r="J59" s="40"/>
    </row>
    <row r="60" ht="14.25" customHeight="1">
      <c r="B60" s="43" t="s">
        <v>79</v>
      </c>
      <c r="C60" s="18"/>
      <c r="D60" s="18"/>
      <c r="F60" s="40"/>
      <c r="G60" s="40"/>
      <c r="H60" s="40"/>
      <c r="I60" s="40"/>
      <c r="J60" s="40"/>
    </row>
    <row r="61" ht="14.25" customHeight="1">
      <c r="B61" s="44" t="s">
        <v>80</v>
      </c>
      <c r="C61" s="18"/>
      <c r="D61" s="18"/>
      <c r="F61" s="40">
        <v>6398.0</v>
      </c>
      <c r="G61" s="40">
        <v>6560.0</v>
      </c>
      <c r="H61" s="40">
        <v>6403.0</v>
      </c>
      <c r="I61" s="40">
        <v>6941.0</v>
      </c>
      <c r="J61" s="40">
        <v>7181.0</v>
      </c>
    </row>
    <row r="62" ht="14.25" customHeight="1">
      <c r="B62" s="44" t="s">
        <v>81</v>
      </c>
      <c r="F62" s="40">
        <v>-27643.0</v>
      </c>
      <c r="G62" s="40">
        <v>-31748.0</v>
      </c>
      <c r="H62" s="40">
        <v>-36339.0</v>
      </c>
      <c r="I62" s="40">
        <v>-44331.0</v>
      </c>
      <c r="J62" s="40">
        <v>-49539.0</v>
      </c>
    </row>
    <row r="63" ht="14.25" customHeight="1">
      <c r="B63" s="44" t="s">
        <v>82</v>
      </c>
      <c r="F63" s="40">
        <v>39282.0</v>
      </c>
      <c r="G63" s="40">
        <v>43514.0</v>
      </c>
      <c r="H63" s="40">
        <v>51250.0</v>
      </c>
      <c r="I63" s="40">
        <v>59352.0</v>
      </c>
      <c r="J63" s="40">
        <v>65448.0</v>
      </c>
    </row>
    <row r="64" ht="14.25" customHeight="1">
      <c r="B64" s="44" t="s">
        <v>83</v>
      </c>
      <c r="F64" s="40">
        <v>-1553.0</v>
      </c>
      <c r="G64" s="40">
        <v>-2457.0</v>
      </c>
      <c r="H64" s="40">
        <v>-1820.0</v>
      </c>
      <c r="I64" s="40">
        <v>-2471.0</v>
      </c>
      <c r="J64" s="40">
        <v>-1772.0</v>
      </c>
    </row>
    <row r="65" ht="14.25" customHeight="1">
      <c r="B65" s="44" t="s">
        <v>84</v>
      </c>
      <c r="F65" s="40">
        <v>32.0</v>
      </c>
      <c r="G65" s="40">
        <v>22.0</v>
      </c>
      <c r="H65" s="40">
        <v>9.0</v>
      </c>
      <c r="I65" s="40">
        <v>3.0</v>
      </c>
      <c r="J65" s="40" t="s">
        <v>85</v>
      </c>
    </row>
    <row r="66" ht="14.25" customHeight="1">
      <c r="B66" s="43" t="s">
        <v>86</v>
      </c>
      <c r="F66" s="39">
        <v>16516.0</v>
      </c>
      <c r="G66" s="39">
        <v>15891.0</v>
      </c>
      <c r="H66" s="39">
        <v>19503.0</v>
      </c>
      <c r="I66" s="39">
        <v>19494.0</v>
      </c>
      <c r="J66" s="39">
        <v>21318.0</v>
      </c>
    </row>
    <row r="67" ht="14.25" customHeight="1">
      <c r="B67" s="43" t="s">
        <v>87</v>
      </c>
      <c r="F67" s="39">
        <v>82793.0</v>
      </c>
      <c r="G67" s="39">
        <v>81943.0</v>
      </c>
      <c r="H67" s="39">
        <v>87476.0</v>
      </c>
      <c r="I67" s="39">
        <v>87764.0</v>
      </c>
      <c r="J67" s="39">
        <v>98585.0</v>
      </c>
    </row>
    <row r="68" ht="14.25" customHeight="1"/>
    <row r="69" ht="14.25" customHeight="1"/>
    <row r="70" ht="14.25" customHeight="1">
      <c r="B70" s="38" t="s">
        <v>88</v>
      </c>
      <c r="C70" s="10"/>
      <c r="D70" s="10"/>
      <c r="F70" s="39">
        <v>2021.0</v>
      </c>
      <c r="G70" s="39">
        <v>2022.0</v>
      </c>
      <c r="H70" s="39">
        <v>2023.0</v>
      </c>
      <c r="I70" s="39">
        <v>2024.0</v>
      </c>
      <c r="J70" s="39">
        <v>2025.0</v>
      </c>
    </row>
    <row r="71" ht="14.25" customHeight="1">
      <c r="B71" s="10"/>
      <c r="C71" s="10"/>
      <c r="D71" s="10"/>
      <c r="F71" s="10"/>
      <c r="G71" s="10"/>
      <c r="H71" s="10"/>
      <c r="I71" s="10"/>
      <c r="J71" s="10"/>
    </row>
    <row r="72" ht="14.25" customHeight="1">
      <c r="B72" s="39"/>
      <c r="C72" s="10"/>
      <c r="D72" s="10"/>
      <c r="F72" s="10"/>
      <c r="G72" s="10"/>
      <c r="H72" s="10"/>
      <c r="I72" s="10"/>
      <c r="J72" s="10"/>
    </row>
    <row r="73" ht="14.25" customHeight="1">
      <c r="B73" s="39" t="s">
        <v>89</v>
      </c>
      <c r="C73" s="10"/>
      <c r="D73" s="10"/>
      <c r="F73" s="40"/>
      <c r="G73" s="40"/>
      <c r="H73" s="40"/>
      <c r="I73" s="40"/>
      <c r="J73" s="40"/>
    </row>
    <row r="74" ht="14.25" customHeight="1">
      <c r="B74" s="40" t="s">
        <v>90</v>
      </c>
      <c r="C74" s="19"/>
      <c r="D74" s="19"/>
      <c r="F74" s="40">
        <v>6493.0</v>
      </c>
      <c r="G74" s="40">
        <v>6704.0</v>
      </c>
      <c r="H74" s="40">
        <v>10332.0</v>
      </c>
      <c r="I74" s="40">
        <v>10788.0</v>
      </c>
      <c r="J74" s="40">
        <v>8882.0</v>
      </c>
    </row>
    <row r="75" ht="14.25" customHeight="1">
      <c r="B75" s="40" t="s">
        <v>91</v>
      </c>
      <c r="C75" s="19"/>
      <c r="D75" s="19"/>
      <c r="F75" s="40">
        <v>2352.0</v>
      </c>
      <c r="G75" s="40">
        <v>2219.0</v>
      </c>
      <c r="H75" s="40">
        <v>2144.0</v>
      </c>
      <c r="I75" s="40">
        <v>2153.0</v>
      </c>
      <c r="J75" s="40">
        <v>2262.0</v>
      </c>
    </row>
    <row r="76" ht="14.25" customHeight="1">
      <c r="B76" s="40" t="s">
        <v>92</v>
      </c>
      <c r="C76" s="10"/>
      <c r="D76" s="10"/>
      <c r="F76" s="40">
        <v>-1846.0</v>
      </c>
      <c r="G76" s="40">
        <v>-1927.0</v>
      </c>
      <c r="H76" s="40">
        <v>-20.0</v>
      </c>
      <c r="I76" s="40">
        <v>-1234.0</v>
      </c>
      <c r="J76" s="40">
        <v>-16.0</v>
      </c>
    </row>
    <row r="77" ht="14.25" customHeight="1">
      <c r="B77" s="40" t="s">
        <v>93</v>
      </c>
      <c r="C77" s="10"/>
      <c r="D77" s="10"/>
      <c r="F77" s="40">
        <v>199.0</v>
      </c>
      <c r="G77" s="40">
        <v>770.0</v>
      </c>
      <c r="H77" s="40">
        <v>429.0</v>
      </c>
      <c r="I77" s="40">
        <v>328.0</v>
      </c>
      <c r="J77" s="40">
        <v>611.0</v>
      </c>
    </row>
    <row r="78" ht="14.25" customHeight="1">
      <c r="B78" s="39" t="s">
        <v>94</v>
      </c>
      <c r="C78" s="10"/>
      <c r="D78" s="10"/>
      <c r="F78" s="39">
        <v>7198.0</v>
      </c>
      <c r="G78" s="39">
        <v>7766.0</v>
      </c>
      <c r="H78" s="39">
        <v>12885.0</v>
      </c>
      <c r="I78" s="39">
        <v>12035.0</v>
      </c>
      <c r="J78" s="39">
        <v>11739.0</v>
      </c>
    </row>
    <row r="79" ht="14.25" customHeight="1">
      <c r="B79" s="40"/>
      <c r="C79" s="10"/>
      <c r="D79" s="10"/>
      <c r="F79" s="40"/>
      <c r="G79" s="40"/>
      <c r="H79" s="40"/>
      <c r="I79" s="40"/>
      <c r="J79" s="40"/>
    </row>
    <row r="80" ht="14.25" customHeight="1">
      <c r="B80" s="39" t="s">
        <v>95</v>
      </c>
      <c r="C80" s="10"/>
      <c r="D80" s="10"/>
      <c r="F80" s="40"/>
      <c r="G80" s="40"/>
      <c r="H80" s="40"/>
      <c r="I80" s="40"/>
      <c r="J80" s="40"/>
    </row>
    <row r="81" ht="14.25" customHeight="1">
      <c r="B81" s="40" t="s">
        <v>96</v>
      </c>
      <c r="C81" s="10"/>
      <c r="D81" s="10"/>
      <c r="F81" s="40">
        <v>-1093.0</v>
      </c>
      <c r="G81" s="40">
        <v>-1296.0</v>
      </c>
      <c r="H81" s="40">
        <v>-1597.0</v>
      </c>
      <c r="I81" s="40">
        <v>-1988.0</v>
      </c>
      <c r="J81" s="40">
        <v>-2821.0</v>
      </c>
    </row>
    <row r="82" ht="14.25" customHeight="1">
      <c r="B82" s="40" t="s">
        <v>97</v>
      </c>
      <c r="C82" s="10"/>
      <c r="D82" s="10"/>
      <c r="F82" s="40">
        <v>-13002.0</v>
      </c>
      <c r="G82" s="40">
        <v>-13239.0</v>
      </c>
      <c r="H82" s="40">
        <v>-15161.0</v>
      </c>
      <c r="I82" s="40">
        <v>-15409.0</v>
      </c>
      <c r="J82" s="40">
        <v>-15329.0</v>
      </c>
    </row>
    <row r="83" ht="14.25" customHeight="1">
      <c r="B83" s="40" t="s">
        <v>98</v>
      </c>
      <c r="C83" s="19"/>
      <c r="D83" s="19"/>
      <c r="F83" s="40">
        <v>12430.0</v>
      </c>
      <c r="G83" s="40">
        <v>13177.0</v>
      </c>
      <c r="H83" s="40">
        <v>14034.0</v>
      </c>
      <c r="I83" s="40">
        <v>13608.0</v>
      </c>
      <c r="J83" s="40">
        <v>13515.0</v>
      </c>
    </row>
    <row r="84" ht="14.25" customHeight="1">
      <c r="B84" s="40" t="s">
        <v>99</v>
      </c>
      <c r="C84" s="19"/>
      <c r="D84" s="19"/>
      <c r="F84" s="40">
        <v>-1419.0</v>
      </c>
      <c r="G84" s="40">
        <v>-1183.0</v>
      </c>
      <c r="H84" s="40">
        <v>-3147.0</v>
      </c>
      <c r="I84" s="40">
        <v>1336.0</v>
      </c>
      <c r="J84" s="40">
        <v>-72.0</v>
      </c>
    </row>
    <row r="85" ht="14.25" customHeight="1">
      <c r="B85" s="39" t="s">
        <v>100</v>
      </c>
      <c r="C85" s="19"/>
      <c r="D85" s="19"/>
      <c r="F85" s="39">
        <v>-3084.0</v>
      </c>
      <c r="G85" s="39">
        <v>-2541.0</v>
      </c>
      <c r="H85" s="39">
        <v>-5871.0</v>
      </c>
      <c r="I85" s="39">
        <v>-2453.0</v>
      </c>
      <c r="J85" s="39">
        <v>-4707.0</v>
      </c>
    </row>
    <row r="86" ht="14.25" customHeight="1">
      <c r="B86" s="40"/>
      <c r="C86" s="10"/>
      <c r="D86" s="10"/>
      <c r="F86" s="40"/>
      <c r="G86" s="40"/>
      <c r="H86" s="40"/>
      <c r="I86" s="40"/>
      <c r="J86" s="40"/>
    </row>
    <row r="87" ht="14.25" customHeight="1">
      <c r="B87" s="39" t="s">
        <v>101</v>
      </c>
      <c r="C87" s="10"/>
      <c r="D87" s="10"/>
      <c r="F87" s="40"/>
      <c r="G87" s="40"/>
      <c r="H87" s="40"/>
      <c r="I87" s="40"/>
      <c r="J87" s="40"/>
    </row>
    <row r="88" ht="14.25" customHeight="1">
      <c r="B88" s="40" t="s">
        <v>102</v>
      </c>
      <c r="C88" s="10"/>
      <c r="D88" s="10"/>
      <c r="F88" s="40">
        <v>-2332.0</v>
      </c>
      <c r="G88" s="40">
        <v>-2440.0</v>
      </c>
      <c r="H88" s="40">
        <v>-2563.0</v>
      </c>
      <c r="I88" s="40">
        <v>-2646.0</v>
      </c>
      <c r="J88" s="40">
        <v>-2749.0</v>
      </c>
    </row>
    <row r="89" ht="14.25" customHeight="1">
      <c r="B89" s="40" t="s">
        <v>103</v>
      </c>
      <c r="C89" s="10"/>
      <c r="D89" s="10"/>
      <c r="F89" s="40">
        <v>-2668.0</v>
      </c>
      <c r="G89" s="40">
        <v>-4230.0</v>
      </c>
      <c r="H89" s="40">
        <v>-4975.0</v>
      </c>
      <c r="I89" s="40">
        <v>-7697.0</v>
      </c>
      <c r="J89" s="40">
        <v>-5190.0</v>
      </c>
    </row>
    <row r="90" ht="14.25" customHeight="1">
      <c r="B90" s="40" t="s">
        <v>104</v>
      </c>
      <c r="C90" s="10"/>
      <c r="D90" s="10"/>
      <c r="F90" s="40">
        <v>6989.0</v>
      </c>
      <c r="G90" s="40">
        <v>6674.0</v>
      </c>
      <c r="H90" s="40">
        <v>8257.0</v>
      </c>
      <c r="I90" s="40">
        <v>10283.0</v>
      </c>
      <c r="J90" s="40">
        <v>11105.0</v>
      </c>
      <c r="K90" s="18"/>
    </row>
    <row r="91" ht="14.25" customHeight="1">
      <c r="B91" s="40" t="s">
        <v>105</v>
      </c>
      <c r="C91" s="10"/>
      <c r="D91" s="10"/>
      <c r="F91" s="40">
        <v>-9796.0</v>
      </c>
      <c r="G91" s="40">
        <v>-7728.0</v>
      </c>
      <c r="H91" s="40">
        <v>-6318.0</v>
      </c>
      <c r="I91" s="40">
        <v>-9316.0</v>
      </c>
      <c r="J91" s="40">
        <v>-8081.0</v>
      </c>
      <c r="K91" s="18"/>
    </row>
    <row r="92" ht="14.25" customHeight="1">
      <c r="B92" s="40" t="s">
        <v>106</v>
      </c>
      <c r="C92" s="10"/>
      <c r="D92" s="10"/>
      <c r="F92" s="40">
        <v>3619.0</v>
      </c>
      <c r="G92" s="40">
        <v>443.0</v>
      </c>
      <c r="H92" s="40">
        <v>-1333.0</v>
      </c>
      <c r="I92" s="40">
        <v>-189.0</v>
      </c>
      <c r="J92" s="40">
        <v>1016.0</v>
      </c>
      <c r="K92" s="10"/>
    </row>
    <row r="93" ht="14.25" customHeight="1">
      <c r="B93" s="39" t="s">
        <v>107</v>
      </c>
      <c r="C93" s="10"/>
      <c r="D93" s="10"/>
      <c r="F93" s="39">
        <v>-4188.0</v>
      </c>
      <c r="G93" s="39">
        <v>-7281.0</v>
      </c>
      <c r="H93" s="39">
        <v>-6932.0</v>
      </c>
      <c r="I93" s="39">
        <v>-9565.0</v>
      </c>
      <c r="J93" s="39">
        <v>-3899.0</v>
      </c>
      <c r="K93" s="10"/>
    </row>
    <row r="94" ht="14.25" customHeight="1">
      <c r="B94" s="40"/>
      <c r="C94" s="10"/>
      <c r="D94" s="10"/>
      <c r="F94" s="40"/>
      <c r="G94" s="40"/>
      <c r="H94" s="40"/>
      <c r="I94" s="40"/>
      <c r="J94" s="40"/>
    </row>
    <row r="95" ht="14.25" customHeight="1">
      <c r="B95" s="39" t="s">
        <v>108</v>
      </c>
      <c r="C95" s="10"/>
      <c r="D95" s="10"/>
      <c r="F95" s="39">
        <v>-103.0</v>
      </c>
      <c r="G95" s="39">
        <v>-2250.0</v>
      </c>
      <c r="H95" s="39">
        <v>-28.0</v>
      </c>
      <c r="I95" s="39">
        <v>-89.0</v>
      </c>
      <c r="J95" s="39">
        <v>3090.0</v>
      </c>
    </row>
    <row r="96" ht="14.25" customHeight="1">
      <c r="B96" s="39" t="s">
        <v>109</v>
      </c>
      <c r="C96" s="10"/>
      <c r="D96" s="10"/>
      <c r="F96" s="39">
        <v>9263.0</v>
      </c>
      <c r="G96" s="39">
        <v>7013.0</v>
      </c>
      <c r="H96" s="39">
        <v>6985.0</v>
      </c>
      <c r="I96" s="39">
        <v>6896.0</v>
      </c>
      <c r="J96" s="39">
        <v>9986.0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