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e8b8c64fe6f9cb/Desktop/Project Cresco_Morus/Independent Stock Analysis/Caterpillar Inc/"/>
    </mc:Choice>
  </mc:AlternateContent>
  <xr:revisionPtr revIDLastSave="216" documentId="8_{CD5D4445-2880-491B-B196-5257841953A5}" xr6:coauthVersionLast="47" xr6:coauthVersionMax="47" xr10:uidLastSave="{ECDD4EDD-0166-4902-A203-E51E5AFB9400}"/>
  <bookViews>
    <workbookView xWindow="-108" yWindow="-108" windowWidth="23256" windowHeight="12456" tabRatio="783" xr2:uid="{9BBEC7FD-439B-4CAA-B89C-59B2611DB9BB}"/>
  </bookViews>
  <sheets>
    <sheet name="Cover Page" sheetId="4" r:id="rId1"/>
    <sheet name="P&amp;L" sheetId="1" r:id="rId2"/>
    <sheet name="Balance Sheet " sheetId="12" r:id="rId3"/>
    <sheet name="Cash Flow" sheetId="13" r:id="rId4"/>
    <sheet name="DCF Model" sheetId="14" r:id="rId5"/>
    <sheet name="Comps Table" sheetId="7" r:id="rId6"/>
    <sheet name="Output Charts" sheetId="6" r:id="rId7"/>
    <sheet name="Ratio Analysis" sheetId="3" r:id="rId8"/>
    <sheet name="Assumptions" sheetId="10" r:id="rId9"/>
    <sheet name="Input Data" sheetId="1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3" l="1"/>
  <c r="K21" i="13"/>
  <c r="I43" i="13"/>
  <c r="J43" i="13"/>
  <c r="H43" i="13"/>
  <c r="M23" i="12"/>
  <c r="N23" i="12"/>
  <c r="O23" i="12" s="1"/>
  <c r="P23" i="12" s="1"/>
  <c r="Q23" i="12" s="1"/>
  <c r="R23" i="12" s="1"/>
  <c r="L23" i="12"/>
  <c r="H32" i="3"/>
  <c r="I32" i="3"/>
  <c r="J32" i="3"/>
  <c r="G32" i="3"/>
  <c r="H34" i="3"/>
  <c r="I34" i="3"/>
  <c r="J34" i="3"/>
  <c r="G34" i="3"/>
  <c r="H35" i="3"/>
  <c r="I35" i="3"/>
  <c r="J35" i="3"/>
  <c r="G35" i="3"/>
  <c r="H33" i="3"/>
  <c r="I33" i="3"/>
  <c r="J33" i="3"/>
  <c r="G33" i="3"/>
  <c r="G37" i="3"/>
  <c r="G34" i="13"/>
  <c r="N10" i="7"/>
  <c r="H25" i="13"/>
  <c r="H37" i="12"/>
  <c r="I37" i="12"/>
  <c r="J37" i="12"/>
  <c r="K37" i="12"/>
  <c r="G37" i="12"/>
  <c r="H34" i="12"/>
  <c r="I34" i="12"/>
  <c r="J34" i="12"/>
  <c r="K34" i="12"/>
  <c r="G34" i="12"/>
  <c r="H36" i="12"/>
  <c r="I36" i="12"/>
  <c r="J36" i="12"/>
  <c r="K36" i="12"/>
  <c r="G36" i="12"/>
  <c r="H35" i="12"/>
  <c r="I35" i="12"/>
  <c r="J35" i="12"/>
  <c r="K35" i="12"/>
  <c r="L35" i="12" s="1"/>
  <c r="G35" i="12"/>
  <c r="H32" i="12"/>
  <c r="I32" i="12"/>
  <c r="J32" i="12"/>
  <c r="K32" i="12"/>
  <c r="G32" i="12"/>
  <c r="H31" i="12"/>
  <c r="I31" i="12"/>
  <c r="J31" i="12"/>
  <c r="K31" i="12"/>
  <c r="G31" i="12"/>
  <c r="H23" i="12"/>
  <c r="I23" i="12"/>
  <c r="J23" i="12"/>
  <c r="K23" i="12"/>
  <c r="G23" i="12"/>
  <c r="H22" i="12"/>
  <c r="I22" i="12"/>
  <c r="J22" i="12"/>
  <c r="K22" i="12"/>
  <c r="L22" i="12" s="1"/>
  <c r="G22" i="12"/>
  <c r="H21" i="12"/>
  <c r="I21" i="12"/>
  <c r="J21" i="12"/>
  <c r="K21" i="12"/>
  <c r="G21" i="12"/>
  <c r="H27" i="12"/>
  <c r="I27" i="12"/>
  <c r="J27" i="12"/>
  <c r="K27" i="12"/>
  <c r="G27" i="12"/>
  <c r="H24" i="12"/>
  <c r="I24" i="12"/>
  <c r="J24" i="12"/>
  <c r="K24" i="12"/>
  <c r="G24" i="12"/>
  <c r="G25" i="12"/>
  <c r="H25" i="12"/>
  <c r="I25" i="12"/>
  <c r="J25" i="12"/>
  <c r="K25" i="12"/>
  <c r="H26" i="12"/>
  <c r="I26" i="12"/>
  <c r="J26" i="12"/>
  <c r="K26" i="12"/>
  <c r="G26" i="12"/>
  <c r="G33" i="1"/>
  <c r="G34" i="1" s="1"/>
  <c r="H33" i="1"/>
  <c r="I33" i="1"/>
  <c r="J33" i="1"/>
  <c r="K33" i="1"/>
  <c r="H37" i="1"/>
  <c r="I37" i="1"/>
  <c r="J37" i="1"/>
  <c r="K37" i="1"/>
  <c r="G37" i="1"/>
  <c r="H35" i="1"/>
  <c r="I35" i="1"/>
  <c r="J35" i="1"/>
  <c r="K35" i="1"/>
  <c r="G35" i="1"/>
  <c r="G28" i="1"/>
  <c r="H31" i="1"/>
  <c r="I31" i="1"/>
  <c r="J31" i="1"/>
  <c r="K31" i="1"/>
  <c r="G31" i="1"/>
  <c r="K32" i="1"/>
  <c r="J32" i="1"/>
  <c r="I32" i="1"/>
  <c r="H32" i="1"/>
  <c r="G32" i="1"/>
  <c r="K29" i="1"/>
  <c r="J29" i="1"/>
  <c r="I29" i="1"/>
  <c r="H29" i="1"/>
  <c r="G29" i="1"/>
  <c r="H30" i="1"/>
  <c r="I30" i="1"/>
  <c r="J30" i="1"/>
  <c r="K30" i="1"/>
  <c r="G30" i="1"/>
  <c r="H25" i="1"/>
  <c r="I25" i="1"/>
  <c r="J25" i="1"/>
  <c r="K25" i="1"/>
  <c r="G25" i="1"/>
  <c r="H24" i="1"/>
  <c r="I24" i="1"/>
  <c r="J24" i="1"/>
  <c r="K24" i="1"/>
  <c r="G24" i="1"/>
  <c r="H48" i="14"/>
  <c r="M18" i="14"/>
  <c r="L37" i="12"/>
  <c r="M37" i="12" s="1"/>
  <c r="N37" i="12" s="1"/>
  <c r="O37" i="12" s="1"/>
  <c r="P37" i="12" s="1"/>
  <c r="Q37" i="12" s="1"/>
  <c r="R37" i="12" s="1"/>
  <c r="Q11" i="12"/>
  <c r="R11" i="12"/>
  <c r="Q12" i="12"/>
  <c r="R12" i="12"/>
  <c r="Q13" i="12"/>
  <c r="R13" i="12"/>
  <c r="D44" i="14"/>
  <c r="Q12" i="1"/>
  <c r="R12" i="1"/>
  <c r="Q13" i="1"/>
  <c r="R13" i="1"/>
  <c r="Q14" i="1"/>
  <c r="R14" i="1"/>
  <c r="Q15" i="1"/>
  <c r="R15" i="1"/>
  <c r="Q16" i="1"/>
  <c r="R16" i="1"/>
  <c r="Q17" i="1"/>
  <c r="R17" i="1"/>
  <c r="Q11" i="1"/>
  <c r="R11" i="1"/>
  <c r="M15" i="1"/>
  <c r="N15" i="1"/>
  <c r="O15" i="1"/>
  <c r="P15" i="1"/>
  <c r="L15" i="1"/>
  <c r="L17" i="1"/>
  <c r="L16" i="1"/>
  <c r="Q51" i="12" s="1"/>
  <c r="G44" i="1" l="1"/>
  <c r="K54" i="1"/>
  <c r="G54" i="1"/>
  <c r="J54" i="1"/>
  <c r="I54" i="1"/>
  <c r="H54" i="1"/>
  <c r="J36" i="3"/>
  <c r="F16" i="3"/>
  <c r="I16" i="3"/>
  <c r="I36" i="3"/>
  <c r="H16" i="3"/>
  <c r="G36" i="3"/>
  <c r="G17" i="3"/>
  <c r="H36" i="3"/>
  <c r="F17" i="3"/>
  <c r="J17" i="3"/>
  <c r="G16" i="3"/>
  <c r="I17" i="3"/>
  <c r="H17" i="3"/>
  <c r="K38" i="12"/>
  <c r="J16" i="3"/>
  <c r="I38" i="12"/>
  <c r="H38" i="12"/>
  <c r="J38" i="12"/>
  <c r="G38" i="12"/>
  <c r="K28" i="12"/>
  <c r="H37" i="3"/>
  <c r="G28" i="12"/>
  <c r="I28" i="12"/>
  <c r="H28" i="12"/>
  <c r="J28" i="12"/>
  <c r="L27" i="12"/>
  <c r="M27" i="12" s="1"/>
  <c r="N27" i="12" s="1"/>
  <c r="O27" i="12" s="1"/>
  <c r="P27" i="12" s="1"/>
  <c r="Q27" i="12" s="1"/>
  <c r="R27" i="12" s="1"/>
  <c r="R51" i="12"/>
  <c r="F30" i="3"/>
  <c r="J37" i="3"/>
  <c r="I37" i="3"/>
  <c r="H28" i="13"/>
  <c r="M35" i="12"/>
  <c r="L25" i="13"/>
  <c r="L24" i="13"/>
  <c r="M22" i="12"/>
  <c r="G53" i="1"/>
  <c r="K26" i="1"/>
  <c r="K27" i="1" s="1"/>
  <c r="J60" i="1"/>
  <c r="K60" i="1"/>
  <c r="I60" i="1"/>
  <c r="K28" i="1"/>
  <c r="J30" i="3" s="1"/>
  <c r="I28" i="1"/>
  <c r="H30" i="3" s="1"/>
  <c r="H28" i="1"/>
  <c r="G30" i="3" s="1"/>
  <c r="J28" i="1"/>
  <c r="I30" i="3" s="1"/>
  <c r="Q11" i="7"/>
  <c r="Q12" i="7"/>
  <c r="Q13" i="7"/>
  <c r="Q10" i="7"/>
  <c r="P10" i="7"/>
  <c r="P11" i="7"/>
  <c r="P12" i="7"/>
  <c r="P13" i="7"/>
  <c r="O11" i="7"/>
  <c r="O12" i="7"/>
  <c r="O13" i="7"/>
  <c r="O10" i="7"/>
  <c r="N11" i="7"/>
  <c r="N12" i="7"/>
  <c r="N13" i="7"/>
  <c r="H22" i="3" l="1"/>
  <c r="G22" i="3"/>
  <c r="F22" i="3"/>
  <c r="I31" i="3"/>
  <c r="J31" i="3"/>
  <c r="G31" i="3"/>
  <c r="I22" i="3"/>
  <c r="J22" i="3"/>
  <c r="H31" i="3"/>
  <c r="K34" i="1"/>
  <c r="K36" i="1" s="1"/>
  <c r="K38" i="1" s="1"/>
  <c r="N22" i="12"/>
  <c r="M24" i="13"/>
  <c r="N35" i="12"/>
  <c r="M25" i="13"/>
  <c r="M11" i="12"/>
  <c r="N11" i="12"/>
  <c r="O11" i="12"/>
  <c r="P11" i="12"/>
  <c r="L11" i="12"/>
  <c r="M13" i="12"/>
  <c r="N13" i="12"/>
  <c r="O13" i="12"/>
  <c r="P13" i="12"/>
  <c r="L13" i="12"/>
  <c r="M12" i="12"/>
  <c r="N12" i="12"/>
  <c r="O12" i="12"/>
  <c r="P12" i="12"/>
  <c r="L12" i="12"/>
  <c r="H61" i="12"/>
  <c r="I61" i="12"/>
  <c r="J61" i="12"/>
  <c r="K61" i="12"/>
  <c r="G61" i="12"/>
  <c r="L51" i="12"/>
  <c r="L47" i="12" s="1"/>
  <c r="T5" i="13"/>
  <c r="T5" i="12"/>
  <c r="H78" i="12"/>
  <c r="I78" i="12" s="1"/>
  <c r="J78" i="12" s="1"/>
  <c r="K78" i="12" s="1"/>
  <c r="L78" i="12" s="1"/>
  <c r="M78" i="12" s="1"/>
  <c r="N78" i="12" s="1"/>
  <c r="O78" i="12" s="1"/>
  <c r="P78" i="12" s="1"/>
  <c r="Q78" i="12" s="1"/>
  <c r="R78" i="12" s="1"/>
  <c r="I19" i="13"/>
  <c r="J19" i="13"/>
  <c r="K19" i="13"/>
  <c r="H19" i="13"/>
  <c r="J11" i="3" l="1"/>
  <c r="O14" i="12"/>
  <c r="O52" i="12" s="1"/>
  <c r="R14" i="12"/>
  <c r="R52" i="12" s="1"/>
  <c r="Q14" i="12"/>
  <c r="Q52" i="12" s="1"/>
  <c r="O35" i="12"/>
  <c r="N25" i="13"/>
  <c r="O22" i="12"/>
  <c r="N24" i="13"/>
  <c r="N14" i="12"/>
  <c r="N52" i="12" s="1"/>
  <c r="M14" i="12"/>
  <c r="M52" i="12" s="1"/>
  <c r="L14" i="12"/>
  <c r="L52" i="12" s="1"/>
  <c r="P14" i="12"/>
  <c r="P52" i="12" s="1"/>
  <c r="O51" i="12"/>
  <c r="N51" i="12"/>
  <c r="M51" i="12"/>
  <c r="P51" i="12"/>
  <c r="P22" i="12" l="1"/>
  <c r="O24" i="13"/>
  <c r="P35" i="12"/>
  <c r="O25" i="13"/>
  <c r="K9" i="13"/>
  <c r="L9" i="13" s="1"/>
  <c r="M9" i="13" s="1"/>
  <c r="N9" i="13" s="1"/>
  <c r="O9" i="13" s="1"/>
  <c r="P9" i="13" s="1"/>
  <c r="Q9" i="13" s="1"/>
  <c r="R9" i="13" s="1"/>
  <c r="K60" i="12"/>
  <c r="H34" i="13"/>
  <c r="I34" i="13"/>
  <c r="J34" i="13"/>
  <c r="H33" i="13"/>
  <c r="H49" i="12"/>
  <c r="I49" i="12"/>
  <c r="J49" i="12"/>
  <c r="G49" i="12"/>
  <c r="H46" i="12" s="1"/>
  <c r="K18" i="12"/>
  <c r="H13" i="13"/>
  <c r="I13" i="13"/>
  <c r="J13" i="13"/>
  <c r="K13" i="13"/>
  <c r="H44" i="1"/>
  <c r="I44" i="1"/>
  <c r="J44" i="1"/>
  <c r="K44" i="1"/>
  <c r="H27" i="13"/>
  <c r="I27" i="13"/>
  <c r="J27" i="13"/>
  <c r="K27" i="13"/>
  <c r="G52" i="1"/>
  <c r="H43" i="1"/>
  <c r="I43" i="1"/>
  <c r="K43" i="1"/>
  <c r="G43" i="1"/>
  <c r="H32" i="13" l="1"/>
  <c r="P25" i="13"/>
  <c r="Q35" i="12"/>
  <c r="P24" i="13"/>
  <c r="Q22" i="12"/>
  <c r="K50" i="1"/>
  <c r="K52" i="1"/>
  <c r="K53" i="1"/>
  <c r="J50" i="1"/>
  <c r="G55" i="1"/>
  <c r="I53" i="1"/>
  <c r="K55" i="1"/>
  <c r="J52" i="1"/>
  <c r="I50" i="1"/>
  <c r="I52" i="1"/>
  <c r="H53" i="1"/>
  <c r="G50" i="1"/>
  <c r="J53" i="1"/>
  <c r="H55" i="1"/>
  <c r="K33" i="12"/>
  <c r="J15" i="13"/>
  <c r="J47" i="12"/>
  <c r="H44" i="14"/>
  <c r="D45" i="14"/>
  <c r="J72" i="12"/>
  <c r="K69" i="12" s="1"/>
  <c r="H50" i="1"/>
  <c r="H60" i="1"/>
  <c r="H52" i="1"/>
  <c r="J55" i="1"/>
  <c r="I15" i="13"/>
  <c r="I47" i="12"/>
  <c r="H47" i="12"/>
  <c r="H51" i="12" s="1"/>
  <c r="H15" i="13"/>
  <c r="I72" i="12"/>
  <c r="J69" i="12" s="1"/>
  <c r="H72" i="12"/>
  <c r="I69" i="12" s="1"/>
  <c r="K62" i="1"/>
  <c r="K15" i="13"/>
  <c r="K47" i="12"/>
  <c r="J43" i="1"/>
  <c r="I55" i="1"/>
  <c r="K34" i="13"/>
  <c r="H45" i="14"/>
  <c r="G72" i="12"/>
  <c r="H69" i="12" s="1"/>
  <c r="G60" i="12"/>
  <c r="G62" i="12"/>
  <c r="J18" i="13"/>
  <c r="J60" i="12"/>
  <c r="K20" i="13"/>
  <c r="K62" i="12"/>
  <c r="K63" i="12" s="1"/>
  <c r="I62" i="12"/>
  <c r="K72" i="12"/>
  <c r="E76" i="12" s="1"/>
  <c r="K28" i="13"/>
  <c r="H62" i="12"/>
  <c r="I60" i="12"/>
  <c r="J62" i="12"/>
  <c r="H60" i="12"/>
  <c r="G33" i="12"/>
  <c r="I24" i="13"/>
  <c r="K18" i="13"/>
  <c r="J18" i="12"/>
  <c r="J87" i="12" s="1"/>
  <c r="K87" i="12"/>
  <c r="J24" i="13"/>
  <c r="I28" i="13"/>
  <c r="I18" i="13"/>
  <c r="J28" i="13"/>
  <c r="I33" i="12"/>
  <c r="I46" i="12"/>
  <c r="K23" i="13"/>
  <c r="K49" i="12"/>
  <c r="K46" i="12"/>
  <c r="K25" i="13"/>
  <c r="J46" i="12"/>
  <c r="I23" i="13"/>
  <c r="K24" i="13"/>
  <c r="J25" i="13"/>
  <c r="H24" i="13"/>
  <c r="J33" i="13"/>
  <c r="J32" i="13" s="1"/>
  <c r="J33" i="12"/>
  <c r="I25" i="13"/>
  <c r="J23" i="13"/>
  <c r="H33" i="12"/>
  <c r="J20" i="13"/>
  <c r="I20" i="13"/>
  <c r="I33" i="13"/>
  <c r="I32" i="13" s="1"/>
  <c r="K57" i="12"/>
  <c r="K68" i="12" s="1"/>
  <c r="K45" i="12"/>
  <c r="L18" i="12"/>
  <c r="L87" i="12" s="1"/>
  <c r="H23" i="13"/>
  <c r="K33" i="13"/>
  <c r="H20" i="13"/>
  <c r="H21" i="13" s="1"/>
  <c r="J9" i="13"/>
  <c r="I9" i="13" s="1"/>
  <c r="H9" i="13" s="1"/>
  <c r="G9" i="13" s="1"/>
  <c r="F3" i="15"/>
  <c r="B17" i="1"/>
  <c r="B16" i="1"/>
  <c r="B14" i="1"/>
  <c r="B13" i="1"/>
  <c r="B12" i="1"/>
  <c r="B11" i="1"/>
  <c r="B5" i="13"/>
  <c r="B5" i="12"/>
  <c r="B5" i="14"/>
  <c r="B5" i="1"/>
  <c r="G15" i="10"/>
  <c r="H15" i="10" s="1"/>
  <c r="I15" i="10" s="1"/>
  <c r="J15" i="10" s="1"/>
  <c r="K15" i="10" s="1"/>
  <c r="L15" i="10" s="1"/>
  <c r="M15" i="10" s="1"/>
  <c r="K21" i="1"/>
  <c r="J21" i="1" s="1"/>
  <c r="D12" i="14"/>
  <c r="L43" i="14"/>
  <c r="M15" i="14"/>
  <c r="M14" i="14"/>
  <c r="M11" i="14"/>
  <c r="G27" i="14"/>
  <c r="H27" i="14" s="1"/>
  <c r="M10" i="14"/>
  <c r="D11" i="14"/>
  <c r="F26" i="14" s="1"/>
  <c r="T5" i="14"/>
  <c r="B3" i="14"/>
  <c r="B3" i="13"/>
  <c r="B3" i="12"/>
  <c r="G26" i="14" l="1"/>
  <c r="F26" i="3"/>
  <c r="F23" i="3"/>
  <c r="G27" i="3"/>
  <c r="J39" i="12"/>
  <c r="I23" i="3"/>
  <c r="I26" i="3"/>
  <c r="J27" i="3"/>
  <c r="J12" i="3"/>
  <c r="H39" i="12"/>
  <c r="H41" i="12" s="1"/>
  <c r="G26" i="3"/>
  <c r="G23" i="3"/>
  <c r="H27" i="3"/>
  <c r="K39" i="12"/>
  <c r="J26" i="3"/>
  <c r="J23" i="3"/>
  <c r="J13" i="3"/>
  <c r="I39" i="12"/>
  <c r="H23" i="3"/>
  <c r="H26" i="3"/>
  <c r="I27" i="3"/>
  <c r="R22" i="12"/>
  <c r="R24" i="13" s="1"/>
  <c r="Q24" i="13"/>
  <c r="R35" i="12"/>
  <c r="R25" i="13" s="1"/>
  <c r="Q25" i="13"/>
  <c r="R79" i="12"/>
  <c r="Q79" i="12"/>
  <c r="K92" i="12"/>
  <c r="L88" i="12" s="1"/>
  <c r="K51" i="12"/>
  <c r="L33" i="13"/>
  <c r="K32" i="13"/>
  <c r="G80" i="12"/>
  <c r="L35" i="1" s="1"/>
  <c r="L27" i="13" s="1"/>
  <c r="H70" i="12"/>
  <c r="G63" i="12"/>
  <c r="I51" i="12"/>
  <c r="H48" i="12"/>
  <c r="H52" i="12" s="1"/>
  <c r="J63" i="12"/>
  <c r="K64" i="12" s="1"/>
  <c r="H63" i="12"/>
  <c r="H46" i="14"/>
  <c r="H71" i="12"/>
  <c r="G28" i="14"/>
  <c r="M16" i="14"/>
  <c r="M19" i="14" s="1"/>
  <c r="I63" i="12"/>
  <c r="G39" i="12"/>
  <c r="G41" i="12" s="1"/>
  <c r="J21" i="13"/>
  <c r="K71" i="12"/>
  <c r="L69" i="12"/>
  <c r="M12" i="14"/>
  <c r="I18" i="12"/>
  <c r="I87" i="12" s="1"/>
  <c r="J45" i="12"/>
  <c r="J57" i="12"/>
  <c r="J68" i="12" s="1"/>
  <c r="I70" i="12"/>
  <c r="I71" i="12"/>
  <c r="I48" i="12"/>
  <c r="I52" i="12" s="1"/>
  <c r="J70" i="12"/>
  <c r="J71" i="12"/>
  <c r="K70" i="12"/>
  <c r="I79" i="12"/>
  <c r="G79" i="12"/>
  <c r="J79" i="12"/>
  <c r="K79" i="12"/>
  <c r="M79" i="12"/>
  <c r="N79" i="12"/>
  <c r="O79" i="12"/>
  <c r="H79" i="12"/>
  <c r="P79" i="12"/>
  <c r="L79" i="12"/>
  <c r="J48" i="12"/>
  <c r="J52" i="12" s="1"/>
  <c r="J51" i="12"/>
  <c r="I21" i="13"/>
  <c r="K48" i="12"/>
  <c r="K52" i="12" s="1"/>
  <c r="L46" i="12"/>
  <c r="L45" i="12"/>
  <c r="L57" i="12"/>
  <c r="L68" i="12" s="1"/>
  <c r="M18" i="12"/>
  <c r="M87" i="12" s="1"/>
  <c r="G3" i="15"/>
  <c r="L21" i="1"/>
  <c r="I26" i="14"/>
  <c r="I27" i="14"/>
  <c r="G25" i="14"/>
  <c r="H26" i="14"/>
  <c r="I45" i="12" l="1"/>
  <c r="I57" i="12"/>
  <c r="I68" i="12" s="1"/>
  <c r="H18" i="12"/>
  <c r="H87" i="12" s="1"/>
  <c r="G81" i="12"/>
  <c r="G82" i="12" s="1"/>
  <c r="H64" i="12"/>
  <c r="I64" i="12"/>
  <c r="J64" i="12"/>
  <c r="M23" i="14"/>
  <c r="L32" i="1"/>
  <c r="G32" i="14" s="1"/>
  <c r="L48" i="12"/>
  <c r="G33" i="14" s="1"/>
  <c r="N18" i="12"/>
  <c r="N87" i="12" s="1"/>
  <c r="M45" i="12"/>
  <c r="M57" i="12"/>
  <c r="M68" i="12" s="1"/>
  <c r="H3" i="15"/>
  <c r="J41" i="12"/>
  <c r="I41" i="12"/>
  <c r="K41" i="12"/>
  <c r="I28" i="14"/>
  <c r="H25" i="14"/>
  <c r="H28" i="14"/>
  <c r="J26" i="14"/>
  <c r="J28" i="14" s="1"/>
  <c r="J27" i="14"/>
  <c r="I25" i="14"/>
  <c r="K26" i="14" l="1"/>
  <c r="K27" i="14"/>
  <c r="G18" i="12"/>
  <c r="G87" i="12" s="1"/>
  <c r="H45" i="12"/>
  <c r="H57" i="12"/>
  <c r="H68" i="12" s="1"/>
  <c r="L71" i="12"/>
  <c r="L72" i="12" s="1"/>
  <c r="M69" i="12" s="1"/>
  <c r="L23" i="13"/>
  <c r="L43" i="1"/>
  <c r="L15" i="13"/>
  <c r="L49" i="12"/>
  <c r="L21" i="12" s="1"/>
  <c r="H80" i="12"/>
  <c r="O18" i="12"/>
  <c r="O87" i="12" s="1"/>
  <c r="N45" i="12"/>
  <c r="N57" i="12"/>
  <c r="N68" i="12" s="1"/>
  <c r="I3" i="15"/>
  <c r="J25" i="14"/>
  <c r="K28" i="14"/>
  <c r="L27" i="14" l="1"/>
  <c r="L26" i="14"/>
  <c r="K25" i="14"/>
  <c r="L28" i="14"/>
  <c r="G57" i="12"/>
  <c r="G68" i="12" s="1"/>
  <c r="G45" i="12"/>
  <c r="L34" i="12"/>
  <c r="L28" i="13" s="1"/>
  <c r="H81" i="12"/>
  <c r="M71" i="12" s="1"/>
  <c r="M72" i="12" s="1"/>
  <c r="M35" i="1"/>
  <c r="M27" i="13" s="1"/>
  <c r="M46" i="12"/>
  <c r="P18" i="12"/>
  <c r="O45" i="12"/>
  <c r="O57" i="12"/>
  <c r="O68" i="12" s="1"/>
  <c r="L25" i="14" l="1"/>
  <c r="M27" i="14"/>
  <c r="M26" i="14"/>
  <c r="P87" i="12"/>
  <c r="Q18" i="12"/>
  <c r="H82" i="12"/>
  <c r="I80" i="12" s="1"/>
  <c r="N35" i="1" s="1"/>
  <c r="N27" i="13" s="1"/>
  <c r="N69" i="12"/>
  <c r="M34" i="12"/>
  <c r="M28" i="13" s="1"/>
  <c r="M48" i="12"/>
  <c r="M47" i="12"/>
  <c r="P57" i="12"/>
  <c r="P68" i="12" s="1"/>
  <c r="P45" i="12"/>
  <c r="Q5" i="6"/>
  <c r="J5" i="3"/>
  <c r="I5" i="3" s="1"/>
  <c r="H5" i="3" s="1"/>
  <c r="G5" i="3" s="1"/>
  <c r="F5" i="3" s="1"/>
  <c r="B3" i="6"/>
  <c r="B3" i="3"/>
  <c r="B3" i="7"/>
  <c r="B3" i="10"/>
  <c r="B3" i="1"/>
  <c r="M25" i="14" l="1"/>
  <c r="M28" i="14"/>
  <c r="Q87" i="12"/>
  <c r="R18" i="12"/>
  <c r="Q45" i="12"/>
  <c r="Q57" i="12"/>
  <c r="Q68" i="12" s="1"/>
  <c r="M32" i="1"/>
  <c r="H32" i="14" s="1"/>
  <c r="I81" i="12"/>
  <c r="N71" i="12" s="1"/>
  <c r="N72" i="12" s="1"/>
  <c r="M23" i="13"/>
  <c r="H33" i="14"/>
  <c r="M49" i="12"/>
  <c r="M21" i="12" s="1"/>
  <c r="H26" i="1"/>
  <c r="I26" i="1"/>
  <c r="J26" i="1"/>
  <c r="G26" i="1"/>
  <c r="G36" i="1" s="1"/>
  <c r="G38" i="1" s="1"/>
  <c r="I21" i="1"/>
  <c r="R57" i="12" l="1"/>
  <c r="R68" i="12" s="1"/>
  <c r="R45" i="12"/>
  <c r="R87" i="12"/>
  <c r="M15" i="13"/>
  <c r="M43" i="1"/>
  <c r="I82" i="12"/>
  <c r="J80" i="12" s="1"/>
  <c r="J81" i="12" s="1"/>
  <c r="O71" i="12" s="1"/>
  <c r="G9" i="3"/>
  <c r="H34" i="1"/>
  <c r="H36" i="1" s="1"/>
  <c r="H51" i="1"/>
  <c r="J9" i="3"/>
  <c r="K51" i="1"/>
  <c r="F9" i="3"/>
  <c r="G42" i="1"/>
  <c r="G45" i="1" s="1"/>
  <c r="G51" i="1"/>
  <c r="I9" i="3"/>
  <c r="J51" i="1"/>
  <c r="J34" i="1"/>
  <c r="J36" i="1" s="1"/>
  <c r="H9" i="3"/>
  <c r="I51" i="1"/>
  <c r="I34" i="1"/>
  <c r="I36" i="1" s="1"/>
  <c r="O69" i="12"/>
  <c r="N34" i="12"/>
  <c r="N28" i="13" s="1"/>
  <c r="N46" i="12"/>
  <c r="N47" i="12" s="1"/>
  <c r="I27" i="1"/>
  <c r="H27" i="1"/>
  <c r="J27" i="1"/>
  <c r="G27" i="1"/>
  <c r="H21" i="1"/>
  <c r="D9" i="10"/>
  <c r="F25" i="3" l="1"/>
  <c r="F24" i="3"/>
  <c r="O72" i="12"/>
  <c r="O34" i="12" s="1"/>
  <c r="O28" i="13" s="1"/>
  <c r="N32" i="1"/>
  <c r="I32" i="14" s="1"/>
  <c r="O35" i="1"/>
  <c r="O27" i="13" s="1"/>
  <c r="J82" i="12"/>
  <c r="K80" i="12" s="1"/>
  <c r="K81" i="12" s="1"/>
  <c r="P71" i="12" s="1"/>
  <c r="G46" i="1"/>
  <c r="F10" i="3"/>
  <c r="G57" i="1"/>
  <c r="I12" i="13"/>
  <c r="I14" i="13" s="1"/>
  <c r="I16" i="13" s="1"/>
  <c r="I26" i="13" s="1"/>
  <c r="I42" i="1"/>
  <c r="I45" i="1" s="1"/>
  <c r="K12" i="13"/>
  <c r="K14" i="13" s="1"/>
  <c r="K16" i="13" s="1"/>
  <c r="K26" i="13" s="1"/>
  <c r="K43" i="13" s="1"/>
  <c r="K42" i="1"/>
  <c r="K45" i="1" s="1"/>
  <c r="J12" i="13"/>
  <c r="J14" i="13" s="1"/>
  <c r="J16" i="13" s="1"/>
  <c r="J26" i="13" s="1"/>
  <c r="J42" i="1"/>
  <c r="J45" i="1" s="1"/>
  <c r="H12" i="13"/>
  <c r="H14" i="13" s="1"/>
  <c r="H16" i="13" s="1"/>
  <c r="H26" i="13" s="1"/>
  <c r="H42" i="1"/>
  <c r="H45" i="1" s="1"/>
  <c r="N48" i="12"/>
  <c r="F13" i="3"/>
  <c r="G21" i="1"/>
  <c r="M17" i="1"/>
  <c r="N17" i="1"/>
  <c r="O17" i="1"/>
  <c r="P17" i="1"/>
  <c r="M16" i="1"/>
  <c r="N16" i="1"/>
  <c r="O16" i="1"/>
  <c r="P16" i="1"/>
  <c r="M14" i="1"/>
  <c r="N14" i="1"/>
  <c r="O14" i="1"/>
  <c r="P14" i="1"/>
  <c r="L14" i="1"/>
  <c r="M13" i="1"/>
  <c r="N13" i="1"/>
  <c r="O13" i="1"/>
  <c r="P13" i="1"/>
  <c r="L13" i="1"/>
  <c r="M12" i="1"/>
  <c r="N12" i="1"/>
  <c r="O12" i="1"/>
  <c r="P12" i="1"/>
  <c r="L12" i="1"/>
  <c r="M11" i="1"/>
  <c r="N11" i="1"/>
  <c r="O11" i="1"/>
  <c r="P11" i="1"/>
  <c r="L11" i="1"/>
  <c r="L24" i="1" s="1"/>
  <c r="K41" i="13" l="1"/>
  <c r="K42" i="13"/>
  <c r="H41" i="13"/>
  <c r="H31" i="13"/>
  <c r="J41" i="13"/>
  <c r="J42" i="13"/>
  <c r="I42" i="13"/>
  <c r="I41" i="13"/>
  <c r="L31" i="1"/>
  <c r="L60" i="12"/>
  <c r="L25" i="12" s="1"/>
  <c r="I24" i="3"/>
  <c r="I25" i="3"/>
  <c r="J24" i="3"/>
  <c r="J25" i="3"/>
  <c r="H24" i="3"/>
  <c r="H25" i="3"/>
  <c r="G24" i="3"/>
  <c r="G25" i="3"/>
  <c r="P69" i="12"/>
  <c r="P72" i="12" s="1"/>
  <c r="J19" i="3"/>
  <c r="K31" i="13"/>
  <c r="L30" i="1"/>
  <c r="L29" i="1"/>
  <c r="N43" i="1"/>
  <c r="N15" i="13"/>
  <c r="M24" i="1"/>
  <c r="K82" i="12"/>
  <c r="L80" i="12" s="1"/>
  <c r="P35" i="1"/>
  <c r="P27" i="13" s="1"/>
  <c r="K46" i="1"/>
  <c r="J10" i="3"/>
  <c r="K57" i="1"/>
  <c r="I46" i="1"/>
  <c r="H10" i="3"/>
  <c r="I57" i="1"/>
  <c r="I31" i="13"/>
  <c r="H46" i="1"/>
  <c r="G10" i="3"/>
  <c r="H57" i="1"/>
  <c r="J46" i="1"/>
  <c r="I10" i="3"/>
  <c r="J57" i="1"/>
  <c r="J31" i="13"/>
  <c r="N49" i="12"/>
  <c r="N21" i="12" s="1"/>
  <c r="I33" i="14"/>
  <c r="N23" i="13"/>
  <c r="J38" i="1"/>
  <c r="H38" i="1"/>
  <c r="I38" i="1"/>
  <c r="M31" i="1" l="1"/>
  <c r="H19" i="3"/>
  <c r="H13" i="3"/>
  <c r="H11" i="3"/>
  <c r="H12" i="3"/>
  <c r="G19" i="3"/>
  <c r="G13" i="3"/>
  <c r="G12" i="3"/>
  <c r="G11" i="3"/>
  <c r="I19" i="3"/>
  <c r="I12" i="3"/>
  <c r="I13" i="3"/>
  <c r="I11" i="3"/>
  <c r="L81" i="12"/>
  <c r="L82" i="12" s="1"/>
  <c r="M80" i="12" s="1"/>
  <c r="Q35" i="1"/>
  <c r="Q27" i="13" s="1"/>
  <c r="P34" i="12"/>
  <c r="P28" i="13" s="1"/>
  <c r="Q69" i="12"/>
  <c r="J61" i="1"/>
  <c r="K61" i="1"/>
  <c r="I61" i="1"/>
  <c r="M29" i="1"/>
  <c r="M30" i="1"/>
  <c r="N24" i="1"/>
  <c r="M25" i="1"/>
  <c r="M26" i="1" s="1"/>
  <c r="G56" i="1"/>
  <c r="J56" i="1"/>
  <c r="I56" i="1"/>
  <c r="K63" i="1"/>
  <c r="K56" i="1"/>
  <c r="H61" i="1"/>
  <c r="H56" i="1"/>
  <c r="O46" i="12"/>
  <c r="O47" i="12" s="1"/>
  <c r="M21" i="1"/>
  <c r="N31" i="1" l="1"/>
  <c r="Q71" i="12"/>
  <c r="Q72" i="12" s="1"/>
  <c r="R69" i="12" s="1"/>
  <c r="M81" i="12"/>
  <c r="M82" i="12" s="1"/>
  <c r="N80" i="12" s="1"/>
  <c r="N81" i="12" s="1"/>
  <c r="N82" i="12" s="1"/>
  <c r="O80" i="12" s="1"/>
  <c r="O81" i="12" s="1"/>
  <c r="O82" i="12" s="1"/>
  <c r="P80" i="12" s="1"/>
  <c r="P81" i="12" s="1"/>
  <c r="P82" i="12" s="1"/>
  <c r="Q80" i="12" s="1"/>
  <c r="Q81" i="12" s="1"/>
  <c r="Q82" i="12" s="1"/>
  <c r="R80" i="12" s="1"/>
  <c r="R81" i="12" s="1"/>
  <c r="R82" i="12" s="1"/>
  <c r="R35" i="1"/>
  <c r="R27" i="13" s="1"/>
  <c r="O32" i="1"/>
  <c r="O15" i="13" s="1"/>
  <c r="N29" i="1"/>
  <c r="N30" i="1"/>
  <c r="O24" i="1"/>
  <c r="N25" i="1"/>
  <c r="N26" i="1" s="1"/>
  <c r="O48" i="12"/>
  <c r="J33" i="14" s="1"/>
  <c r="N21" i="1"/>
  <c r="O31" i="1" l="1"/>
  <c r="R71" i="12"/>
  <c r="R72" i="12" s="1"/>
  <c r="R34" i="12" s="1"/>
  <c r="Q34" i="12"/>
  <c r="Q28" i="13" s="1"/>
  <c r="J32" i="14"/>
  <c r="O43" i="1"/>
  <c r="O30" i="1"/>
  <c r="P24" i="1"/>
  <c r="O29" i="1"/>
  <c r="O25" i="1"/>
  <c r="O26" i="1" s="1"/>
  <c r="O49" i="12"/>
  <c r="P46" i="12" s="1"/>
  <c r="P48" i="12" s="1"/>
  <c r="O23" i="13"/>
  <c r="L25" i="1"/>
  <c r="L18" i="13"/>
  <c r="O21" i="1"/>
  <c r="P31" i="1" l="1"/>
  <c r="R28" i="13"/>
  <c r="Q24" i="1"/>
  <c r="P29" i="1"/>
  <c r="P30" i="1"/>
  <c r="P25" i="1"/>
  <c r="P26" i="1" s="1"/>
  <c r="L62" i="12"/>
  <c r="L36" i="12" s="1"/>
  <c r="L26" i="1"/>
  <c r="L28" i="1"/>
  <c r="P47" i="12"/>
  <c r="O21" i="12"/>
  <c r="P23" i="13"/>
  <c r="K33" i="14"/>
  <c r="M62" i="12"/>
  <c r="M36" i="12" s="1"/>
  <c r="M60" i="12"/>
  <c r="M25" i="12" s="1"/>
  <c r="L61" i="12"/>
  <c r="L24" i="12" s="1"/>
  <c r="P21" i="1"/>
  <c r="Q21" i="1" s="1"/>
  <c r="R21" i="1" s="1"/>
  <c r="Q31" i="1" l="1"/>
  <c r="M18" i="13"/>
  <c r="R24" i="1"/>
  <c r="Q25" i="1"/>
  <c r="Q26" i="1" s="1"/>
  <c r="Q29" i="1"/>
  <c r="Q30" i="1"/>
  <c r="Q60" i="12"/>
  <c r="Q25" i="12" s="1"/>
  <c r="L20" i="13"/>
  <c r="L38" i="12"/>
  <c r="L34" i="1"/>
  <c r="L36" i="1" s="1"/>
  <c r="P32" i="1"/>
  <c r="K32" i="14" s="1"/>
  <c r="M28" i="1"/>
  <c r="M34" i="1" s="1"/>
  <c r="M36" i="1" s="1"/>
  <c r="P49" i="12"/>
  <c r="L19" i="13"/>
  <c r="L27" i="1"/>
  <c r="L63" i="12"/>
  <c r="L64" i="12" s="1"/>
  <c r="M61" i="12"/>
  <c r="M24" i="12" s="1"/>
  <c r="N60" i="12"/>
  <c r="N25" i="12" s="1"/>
  <c r="R31" i="1" l="1"/>
  <c r="N18" i="13"/>
  <c r="Q27" i="1"/>
  <c r="R30" i="1"/>
  <c r="R25" i="1"/>
  <c r="R29" i="1"/>
  <c r="R60" i="12"/>
  <c r="Q61" i="12"/>
  <c r="Q24" i="12" s="1"/>
  <c r="Q62" i="12"/>
  <c r="Q36" i="12" s="1"/>
  <c r="L21" i="13"/>
  <c r="G34" i="14" s="1"/>
  <c r="M20" i="13"/>
  <c r="M38" i="12"/>
  <c r="P21" i="12"/>
  <c r="Q46" i="12"/>
  <c r="P15" i="13"/>
  <c r="P43" i="1"/>
  <c r="N28" i="1"/>
  <c r="N34" i="1" s="1"/>
  <c r="N36" i="1" s="1"/>
  <c r="L37" i="1"/>
  <c r="L12" i="13"/>
  <c r="M27" i="1"/>
  <c r="H30" i="14"/>
  <c r="L42" i="1"/>
  <c r="L45" i="1" s="1"/>
  <c r="L46" i="1" s="1"/>
  <c r="M63" i="12"/>
  <c r="M64" i="12" s="1"/>
  <c r="G30" i="14"/>
  <c r="N61" i="12"/>
  <c r="N24" i="12" s="1"/>
  <c r="N62" i="12"/>
  <c r="N36" i="12" s="1"/>
  <c r="O60" i="12"/>
  <c r="O25" i="12" s="1"/>
  <c r="O62" i="12"/>
  <c r="O36" i="12" s="1"/>
  <c r="L38" i="1" l="1"/>
  <c r="G31" i="14"/>
  <c r="G35" i="14" s="1"/>
  <c r="R25" i="12"/>
  <c r="R18" i="13" s="1"/>
  <c r="O18" i="13"/>
  <c r="Q38" i="12"/>
  <c r="R62" i="12"/>
  <c r="R36" i="12" s="1"/>
  <c r="R61" i="12"/>
  <c r="Q63" i="12"/>
  <c r="R26" i="1"/>
  <c r="Q48" i="12"/>
  <c r="Q47" i="12"/>
  <c r="Q32" i="1" s="1"/>
  <c r="O28" i="1"/>
  <c r="O34" i="1" s="1"/>
  <c r="O36" i="1" s="1"/>
  <c r="N19" i="13"/>
  <c r="M19" i="13"/>
  <c r="M21" i="13" s="1"/>
  <c r="H34" i="14" s="1"/>
  <c r="L13" i="13"/>
  <c r="L14" i="13" s="1"/>
  <c r="M37" i="1"/>
  <c r="M38" i="1" s="1"/>
  <c r="M12" i="13"/>
  <c r="I30" i="14"/>
  <c r="M42" i="1"/>
  <c r="M45" i="1" s="1"/>
  <c r="M46" i="1" s="1"/>
  <c r="O38" i="12"/>
  <c r="N63" i="12"/>
  <c r="N64" i="12" s="1"/>
  <c r="O61" i="12"/>
  <c r="O24" i="12" s="1"/>
  <c r="P60" i="12"/>
  <c r="P25" i="12" s="1"/>
  <c r="N27" i="1"/>
  <c r="P62" i="12"/>
  <c r="P36" i="12" s="1"/>
  <c r="L90" i="12" l="1"/>
  <c r="L92" i="12" s="1"/>
  <c r="L31" i="12" s="1"/>
  <c r="L33" i="12" s="1"/>
  <c r="L39" i="12" s="1"/>
  <c r="R24" i="12"/>
  <c r="R19" i="13" s="1"/>
  <c r="Q18" i="13"/>
  <c r="Q15" i="13"/>
  <c r="L32" i="14"/>
  <c r="Q23" i="13"/>
  <c r="L33" i="14"/>
  <c r="R63" i="12"/>
  <c r="R64" i="12" s="1"/>
  <c r="R38" i="12"/>
  <c r="R20" i="13"/>
  <c r="Q28" i="1"/>
  <c r="Q34" i="1" s="1"/>
  <c r="Q43" i="1"/>
  <c r="R27" i="1"/>
  <c r="N20" i="13"/>
  <c r="N21" i="13" s="1"/>
  <c r="I34" i="14" s="1"/>
  <c r="N38" i="12"/>
  <c r="Q49" i="12"/>
  <c r="R46" i="12" s="1"/>
  <c r="P28" i="1"/>
  <c r="P34" i="1" s="1"/>
  <c r="P36" i="1" s="1"/>
  <c r="L16" i="13"/>
  <c r="L26" i="13" s="1"/>
  <c r="G37" i="14"/>
  <c r="G38" i="14" s="1"/>
  <c r="M13" i="13"/>
  <c r="M14" i="13" s="1"/>
  <c r="M16" i="13" s="1"/>
  <c r="M26" i="13" s="1"/>
  <c r="H31" i="14"/>
  <c r="H35" i="14" s="1"/>
  <c r="H37" i="14" s="1"/>
  <c r="H38" i="14" s="1"/>
  <c r="O20" i="13"/>
  <c r="N37" i="1"/>
  <c r="N38" i="1" s="1"/>
  <c r="N12" i="13"/>
  <c r="O27" i="1"/>
  <c r="J30" i="14"/>
  <c r="O63" i="12"/>
  <c r="O64" i="12" s="1"/>
  <c r="Q20" i="13"/>
  <c r="P61" i="12"/>
  <c r="N42" i="1"/>
  <c r="N45" i="1" s="1"/>
  <c r="N46" i="1" s="1"/>
  <c r="M41" i="13" l="1"/>
  <c r="L41" i="13"/>
  <c r="M88" i="12"/>
  <c r="P24" i="12"/>
  <c r="R21" i="13"/>
  <c r="M34" i="14" s="1"/>
  <c r="P18" i="13"/>
  <c r="Q12" i="13"/>
  <c r="L30" i="14"/>
  <c r="Q36" i="1"/>
  <c r="Q42" i="1"/>
  <c r="Q45" i="1" s="1"/>
  <c r="Q46" i="1" s="1"/>
  <c r="P20" i="13"/>
  <c r="P38" i="12"/>
  <c r="Q21" i="12"/>
  <c r="R48" i="12"/>
  <c r="R47" i="12"/>
  <c r="R32" i="1" s="1"/>
  <c r="N13" i="13"/>
  <c r="N14" i="13" s="1"/>
  <c r="N16" i="13" s="1"/>
  <c r="N26" i="13" s="1"/>
  <c r="I31" i="14"/>
  <c r="I35" i="14" s="1"/>
  <c r="I37" i="14" s="1"/>
  <c r="I38" i="14" s="1"/>
  <c r="O19" i="13"/>
  <c r="O21" i="13" s="1"/>
  <c r="J34" i="14" s="1"/>
  <c r="O37" i="1"/>
  <c r="O38" i="1" s="1"/>
  <c r="O12" i="13"/>
  <c r="P27" i="1"/>
  <c r="K30" i="14"/>
  <c r="O42" i="1"/>
  <c r="O45" i="1" s="1"/>
  <c r="O46" i="1" s="1"/>
  <c r="P63" i="12"/>
  <c r="N41" i="13" l="1"/>
  <c r="Q19" i="13"/>
  <c r="Q21" i="13" s="1"/>
  <c r="L34" i="14" s="1"/>
  <c r="R23" i="13"/>
  <c r="M33" i="14"/>
  <c r="R15" i="13"/>
  <c r="M32" i="14"/>
  <c r="R28" i="1"/>
  <c r="R34" i="1" s="1"/>
  <c r="R43" i="1"/>
  <c r="Q37" i="1"/>
  <c r="L31" i="14" s="1"/>
  <c r="R49" i="12"/>
  <c r="R21" i="12" s="1"/>
  <c r="P64" i="12"/>
  <c r="Q64" i="12"/>
  <c r="O13" i="13"/>
  <c r="O14" i="13" s="1"/>
  <c r="O16" i="13" s="1"/>
  <c r="O26" i="13" s="1"/>
  <c r="J31" i="14"/>
  <c r="J35" i="14" s="1"/>
  <c r="J37" i="14" s="1"/>
  <c r="J38" i="14" s="1"/>
  <c r="P19" i="13"/>
  <c r="P21" i="13" s="1"/>
  <c r="K34" i="14" s="1"/>
  <c r="P37" i="1"/>
  <c r="P38" i="1" s="1"/>
  <c r="P12" i="13"/>
  <c r="P42" i="1"/>
  <c r="P45" i="1" s="1"/>
  <c r="P46" i="1" s="1"/>
  <c r="O41" i="13" l="1"/>
  <c r="L35" i="14"/>
  <c r="L37" i="14" s="1"/>
  <c r="L38" i="14" s="1"/>
  <c r="R12" i="13"/>
  <c r="M30" i="14"/>
  <c r="Q38" i="1"/>
  <c r="Q13" i="13"/>
  <c r="Q14" i="13" s="1"/>
  <c r="Q16" i="13" s="1"/>
  <c r="Q26" i="13" s="1"/>
  <c r="R36" i="1"/>
  <c r="R37" i="1" s="1"/>
  <c r="M31" i="14" s="1"/>
  <c r="R42" i="1"/>
  <c r="R45" i="1" s="1"/>
  <c r="R46" i="1" s="1"/>
  <c r="P13" i="13"/>
  <c r="P14" i="13" s="1"/>
  <c r="P16" i="13" s="1"/>
  <c r="P26" i="13" s="1"/>
  <c r="K31" i="14"/>
  <c r="K35" i="14" s="1"/>
  <c r="K37" i="14" s="1"/>
  <c r="K38" i="14" s="1"/>
  <c r="J18" i="3"/>
  <c r="H18" i="3"/>
  <c r="P41" i="13" l="1"/>
  <c r="Q90" i="12"/>
  <c r="Q32" i="13"/>
  <c r="Q41" i="13"/>
  <c r="M35" i="14"/>
  <c r="P43" i="14" s="1"/>
  <c r="R38" i="1"/>
  <c r="R13" i="13"/>
  <c r="R14" i="13" s="1"/>
  <c r="R16" i="13" s="1"/>
  <c r="R26" i="13" s="1"/>
  <c r="I18" i="3"/>
  <c r="R90" i="12" l="1"/>
  <c r="R32" i="13"/>
  <c r="R41" i="13"/>
  <c r="M90" i="12"/>
  <c r="M92" i="12" s="1"/>
  <c r="M31" i="12" s="1"/>
  <c r="M33" i="12" s="1"/>
  <c r="M39" i="12" l="1"/>
  <c r="N88" i="12"/>
  <c r="N90" i="12"/>
  <c r="O90" i="12"/>
  <c r="N92" i="12" l="1"/>
  <c r="P90" i="12"/>
  <c r="O88" i="12" l="1"/>
  <c r="O92" i="12" s="1"/>
  <c r="O31" i="12" s="1"/>
  <c r="O33" i="12" s="1"/>
  <c r="N31" i="12"/>
  <c r="N33" i="12" s="1"/>
  <c r="P45" i="14"/>
  <c r="M36" i="14" s="1"/>
  <c r="M37" i="14" l="1"/>
  <c r="M38" i="14" s="1"/>
  <c r="D43" i="14" s="1"/>
  <c r="O39" i="12"/>
  <c r="N39" i="12"/>
  <c r="P88" i="12"/>
  <c r="P92" i="12" s="1"/>
  <c r="P31" i="12" l="1"/>
  <c r="P33" i="12" s="1"/>
  <c r="Q88" i="12"/>
  <c r="Q92" i="12" s="1"/>
  <c r="D46" i="14"/>
  <c r="P39" i="12" l="1"/>
  <c r="R88" i="12"/>
  <c r="R92" i="12" s="1"/>
  <c r="R31" i="12" s="1"/>
  <c r="R33" i="12" s="1"/>
  <c r="R39" i="12" s="1"/>
  <c r="Q31" i="12"/>
  <c r="Q33" i="12" s="1"/>
  <c r="D48" i="14"/>
  <c r="L44" i="14" s="1"/>
  <c r="L45" i="14" s="1"/>
  <c r="L48" i="14" s="1"/>
  <c r="P32" i="13"/>
  <c r="O32" i="13"/>
  <c r="N32" i="13"/>
  <c r="M32" i="13"/>
  <c r="L32" i="13"/>
  <c r="L34" i="13" s="1"/>
  <c r="Q39" i="12" l="1"/>
  <c r="L26" i="12"/>
  <c r="M33" i="13"/>
  <c r="M34" i="13" s="1"/>
  <c r="L28" i="12" l="1"/>
  <c r="L41" i="12" s="1"/>
  <c r="M26" i="12"/>
  <c r="N33" i="13"/>
  <c r="N34" i="13" s="1"/>
  <c r="M28" i="12" l="1"/>
  <c r="M41" i="12" s="1"/>
  <c r="O33" i="13"/>
  <c r="O34" i="13" s="1"/>
  <c r="N26" i="12"/>
  <c r="N28" i="12" l="1"/>
  <c r="N41" i="12" s="1"/>
  <c r="O26" i="12"/>
  <c r="P33" i="13"/>
  <c r="P34" i="13" s="1"/>
  <c r="O28" i="12" l="1"/>
  <c r="O41" i="12" s="1"/>
  <c r="P26" i="12"/>
  <c r="Q33" i="13"/>
  <c r="Q34" i="13" s="1"/>
  <c r="P28" i="12" l="1"/>
  <c r="P41" i="12" s="1"/>
  <c r="R33" i="13"/>
  <c r="R34" i="13" s="1"/>
  <c r="R26" i="12" s="1"/>
  <c r="Q26" i="12"/>
  <c r="R28" i="12" l="1"/>
  <c r="R41" i="12" s="1"/>
  <c r="Q28" i="12"/>
  <c r="Q41" i="12" s="1"/>
</calcChain>
</file>

<file path=xl/sharedStrings.xml><?xml version="1.0" encoding="utf-8"?>
<sst xmlns="http://schemas.openxmlformats.org/spreadsheetml/2006/main" count="479" uniqueCount="353">
  <si>
    <t xml:space="preserve">Income Statement </t>
  </si>
  <si>
    <t>Balance Sheet</t>
  </si>
  <si>
    <t xml:space="preserve">Cash Flow Statement </t>
  </si>
  <si>
    <t xml:space="preserve">Revenue </t>
  </si>
  <si>
    <t>EBIT</t>
  </si>
  <si>
    <t>Tax</t>
  </si>
  <si>
    <t xml:space="preserve">Opening Cash Balance </t>
  </si>
  <si>
    <t>Closing Cash Balance</t>
  </si>
  <si>
    <t xml:space="preserve">Interest </t>
  </si>
  <si>
    <t>Ratio Analysis</t>
  </si>
  <si>
    <t>Valuation</t>
  </si>
  <si>
    <t xml:space="preserve">Company Name </t>
  </si>
  <si>
    <t xml:space="preserve">Profitabilty </t>
  </si>
  <si>
    <t xml:space="preserve">Leverage &amp; Solvancy </t>
  </si>
  <si>
    <t xml:space="preserve">Efficiency </t>
  </si>
  <si>
    <t xml:space="preserve">Market value </t>
  </si>
  <si>
    <t xml:space="preserve">EBITDA margin </t>
  </si>
  <si>
    <t>Return on assets (ROA)</t>
  </si>
  <si>
    <t>Current ratio</t>
  </si>
  <si>
    <t>Cash ratio</t>
  </si>
  <si>
    <t>Asset turnover</t>
  </si>
  <si>
    <t>Inventory turnover</t>
  </si>
  <si>
    <t>Assumptions</t>
  </si>
  <si>
    <t xml:space="preserve">                                              </t>
  </si>
  <si>
    <t>Return on equity (ROE)</t>
  </si>
  <si>
    <t>Return on invested capital (ROIC)</t>
  </si>
  <si>
    <t>Operating ratio</t>
  </si>
  <si>
    <t xml:space="preserve"> </t>
  </si>
  <si>
    <t>Inventory days</t>
  </si>
  <si>
    <t xml:space="preserve">Days Per Period </t>
  </si>
  <si>
    <t xml:space="preserve">Debt ratio   </t>
  </si>
  <si>
    <t xml:space="preserve">Gross profit margin </t>
  </si>
  <si>
    <t>Operating cash flow ratio</t>
  </si>
  <si>
    <t xml:space="preserve">Equity multiplier (Asset to equity) </t>
  </si>
  <si>
    <t>Cash conversion ratio</t>
  </si>
  <si>
    <t xml:space="preserve">Discounted Cash Flow </t>
  </si>
  <si>
    <t>DCF Model</t>
  </si>
  <si>
    <t>Comparable Company Analysis</t>
  </si>
  <si>
    <t>Company name</t>
  </si>
  <si>
    <t>Market Data</t>
  </si>
  <si>
    <t xml:space="preserve">Price </t>
  </si>
  <si>
    <t>Market Cap</t>
  </si>
  <si>
    <t>EV</t>
  </si>
  <si>
    <t>Financial Data</t>
  </si>
  <si>
    <t>EBITDA</t>
  </si>
  <si>
    <t>Earnings</t>
  </si>
  <si>
    <t>EV/EBITDA</t>
  </si>
  <si>
    <t>x</t>
  </si>
  <si>
    <t>EV/EBIT</t>
  </si>
  <si>
    <t>P/E</t>
  </si>
  <si>
    <t>Median</t>
  </si>
  <si>
    <t xml:space="preserve">Date </t>
  </si>
  <si>
    <t>Entry</t>
  </si>
  <si>
    <t>Time Periods</t>
  </si>
  <si>
    <t xml:space="preserve">Plus: D&amp;A </t>
  </si>
  <si>
    <t>Less: Capex</t>
  </si>
  <si>
    <t xml:space="preserve">Less: Changes in NWC </t>
  </si>
  <si>
    <t xml:space="preserve">Terminal Value </t>
  </si>
  <si>
    <t xml:space="preserve">Intrinsic Value </t>
  </si>
  <si>
    <t xml:space="preserve">Rate of Return </t>
  </si>
  <si>
    <t>Year Fraction</t>
  </si>
  <si>
    <t>Risk Free Rate</t>
  </si>
  <si>
    <t>Market Risk Premium</t>
  </si>
  <si>
    <t xml:space="preserve">WACC </t>
  </si>
  <si>
    <t>Plus: Cash</t>
  </si>
  <si>
    <t xml:space="preserve">Less: Debt </t>
  </si>
  <si>
    <t>WACC (Discount Rate)</t>
  </si>
  <si>
    <t>Average</t>
  </si>
  <si>
    <t>EV/EBITDA Multiple</t>
  </si>
  <si>
    <t>Output Charts</t>
  </si>
  <si>
    <t>Transaction CF</t>
  </si>
  <si>
    <t>Income Statement</t>
  </si>
  <si>
    <t>Accounts Receivable (Days)</t>
  </si>
  <si>
    <t>Inventory (Days)</t>
  </si>
  <si>
    <t>Accounts Payable (Days)</t>
  </si>
  <si>
    <t>DCF Analysis</t>
  </si>
  <si>
    <t>EBITDA Normalizatiion</t>
  </si>
  <si>
    <t>Plus: D&amp;A</t>
  </si>
  <si>
    <t>Plus: Adjustments</t>
  </si>
  <si>
    <t>EBITDA (normalized)</t>
  </si>
  <si>
    <t xml:space="preserve">Balance Sheet Check </t>
  </si>
  <si>
    <t>Working Capital Schedule</t>
  </si>
  <si>
    <t>Scenario</t>
  </si>
  <si>
    <t>LOW</t>
  </si>
  <si>
    <t>HIGH</t>
  </si>
  <si>
    <t>BASE</t>
  </si>
  <si>
    <t>PPE</t>
  </si>
  <si>
    <t>Inventory</t>
  </si>
  <si>
    <t>Net Working Capital</t>
  </si>
  <si>
    <t>Change in NWC</t>
  </si>
  <si>
    <t>Capex</t>
  </si>
  <si>
    <t xml:space="preserve">Scenario </t>
  </si>
  <si>
    <t xml:space="preserve">General </t>
  </si>
  <si>
    <t>Table of Contents</t>
  </si>
  <si>
    <t>Comps Table</t>
  </si>
  <si>
    <t>Year End</t>
  </si>
  <si>
    <t>Audited</t>
  </si>
  <si>
    <t>TOTAL LIABILITIES</t>
  </si>
  <si>
    <t>TOTAL EQUITY AND LIABILITIES</t>
  </si>
  <si>
    <t>EQUITY AND LIABILITIES</t>
  </si>
  <si>
    <t>TOTAL EQUITY</t>
  </si>
  <si>
    <t>TOTAL ASSETS</t>
  </si>
  <si>
    <t>ASSETS</t>
  </si>
  <si>
    <t>EBITDA/FCF%</t>
  </si>
  <si>
    <t>#033E34</t>
  </si>
  <si>
    <t>#C9F223</t>
  </si>
  <si>
    <t xml:space="preserve">Beta </t>
  </si>
  <si>
    <t xml:space="preserve">Market Value </t>
  </si>
  <si>
    <t xml:space="preserve">Plus: Debt </t>
  </si>
  <si>
    <t>Less: Cash</t>
  </si>
  <si>
    <t>As per market</t>
  </si>
  <si>
    <t xml:space="preserve">Analysis date </t>
  </si>
  <si>
    <t>Market  Value vs Intrinsic Value</t>
  </si>
  <si>
    <t xml:space="preserve">Debt </t>
  </si>
  <si>
    <t>Cash</t>
  </si>
  <si>
    <t>Step 1: Get EBIT and D&amp;A from the income statement</t>
  </si>
  <si>
    <t>Step 2: Calculate the net working capital</t>
  </si>
  <si>
    <t>There are two ways to find NWC:</t>
  </si>
  <si>
    <t>1. NWC = Current Assets (less cash) - Current Liabilities (less debt)</t>
  </si>
  <si>
    <t>2. NWC = Accounts Receivable + Inventory - Accounts Payable</t>
  </si>
  <si>
    <t xml:space="preserve">IRR &gt; WACC = Undervalued </t>
  </si>
  <si>
    <t xml:space="preserve">IRR &lt; WACC = Overvalued </t>
  </si>
  <si>
    <t>#0000FF</t>
  </si>
  <si>
    <t>Revenue</t>
  </si>
  <si>
    <t>Group Financial Statements</t>
  </si>
  <si>
    <t xml:space="preserve">D&amp;A  </t>
  </si>
  <si>
    <t xml:space="preserve">Balance Sheet </t>
  </si>
  <si>
    <t>Cash Flow Statement</t>
  </si>
  <si>
    <t>Mean</t>
  </si>
  <si>
    <t>(USD/share)</t>
  </si>
  <si>
    <t xml:space="preserve">Income Statement Drivers </t>
  </si>
  <si>
    <t>Actual</t>
  </si>
  <si>
    <t>Fcst</t>
  </si>
  <si>
    <t>Cost of sales</t>
  </si>
  <si>
    <t>Gross profit margin</t>
  </si>
  <si>
    <t>Gross profit</t>
  </si>
  <si>
    <t xml:space="preserve">Operating expenses </t>
  </si>
  <si>
    <t>Financial liability</t>
  </si>
  <si>
    <t>Revenue growth (% change)</t>
  </si>
  <si>
    <t>Cost of sales (% of revenue)</t>
  </si>
  <si>
    <t xml:space="preserve">Financial year end </t>
  </si>
  <si>
    <t>Reporting currency</t>
  </si>
  <si>
    <t>Selected Scenario/Case</t>
  </si>
  <si>
    <t>Income Statement Drivers</t>
  </si>
  <si>
    <t>Tax rate (% of Earnings Before Tax)</t>
  </si>
  <si>
    <t>Balance Sheet Drivers</t>
  </si>
  <si>
    <t>Trade receivables</t>
  </si>
  <si>
    <t>Trade payables</t>
  </si>
  <si>
    <t xml:space="preserve">TTM </t>
  </si>
  <si>
    <t>USD' millions</t>
  </si>
  <si>
    <r>
      <rPr>
        <b/>
        <sz val="11"/>
        <color theme="1"/>
        <rFont val="Inconsolata"/>
        <family val="3"/>
      </rPr>
      <t>Liquidity</t>
    </r>
    <r>
      <rPr>
        <sz val="11"/>
        <color theme="1"/>
        <rFont val="Inconsolata"/>
        <family val="3"/>
      </rPr>
      <t xml:space="preserve"> </t>
    </r>
  </si>
  <si>
    <t xml:space="preserve">Valuation date </t>
  </si>
  <si>
    <t>Tax rate</t>
  </si>
  <si>
    <t>Cost of debt</t>
  </si>
  <si>
    <t>Expected market return</t>
  </si>
  <si>
    <t xml:space="preserve">Risk free rate  </t>
  </si>
  <si>
    <t>Terminal growth rate</t>
  </si>
  <si>
    <t>Avg. comps beta</t>
  </si>
  <si>
    <t>Cost of equity</t>
  </si>
  <si>
    <t>Target debt to EV</t>
  </si>
  <si>
    <t>Target equity to EV</t>
  </si>
  <si>
    <t xml:space="preserve">Expected market return </t>
  </si>
  <si>
    <t xml:space="preserve">Tax rate </t>
  </si>
  <si>
    <t xml:space="preserve">Cost of debt </t>
  </si>
  <si>
    <t>After tax cost of debt</t>
  </si>
  <si>
    <t xml:space="preserve">Current price </t>
  </si>
  <si>
    <t>Shares outstanding</t>
  </si>
  <si>
    <t>Less: Cash taxes</t>
  </si>
  <si>
    <t>Unlevered free cash flow</t>
  </si>
  <si>
    <t>Total Unlevered free cash flow</t>
  </si>
  <si>
    <t>Enterprise value</t>
  </si>
  <si>
    <t>Market cap</t>
  </si>
  <si>
    <t xml:space="preserve">Equity value </t>
  </si>
  <si>
    <t xml:space="preserve">Equity value/share </t>
  </si>
  <si>
    <t>Market value</t>
  </si>
  <si>
    <t xml:space="preserve">Intrinsic value </t>
  </si>
  <si>
    <t xml:space="preserve">Implied upside/(downside) </t>
  </si>
  <si>
    <t>Price upside/(downside)</t>
  </si>
  <si>
    <t>Terminal growth</t>
  </si>
  <si>
    <t>Other assets</t>
  </si>
  <si>
    <t>Other liabilities</t>
  </si>
  <si>
    <t>Common-size Analysis</t>
  </si>
  <si>
    <t>D&amp;A</t>
  </si>
  <si>
    <t>Net earnings/(losses)</t>
  </si>
  <si>
    <t>Earnings before tax</t>
  </si>
  <si>
    <t>EBITDA margin</t>
  </si>
  <si>
    <t>Normalized EBITDA</t>
  </si>
  <si>
    <t>Other income/(expenses)</t>
  </si>
  <si>
    <t xml:space="preserve">Retained earnings </t>
  </si>
  <si>
    <t>Growth Rate Analysis</t>
  </si>
  <si>
    <t>NOPAT</t>
  </si>
  <si>
    <t>Add-bAck D&amp;A</t>
  </si>
  <si>
    <t>Gross cash flow</t>
  </si>
  <si>
    <t>Changes in working capital</t>
  </si>
  <si>
    <t>Interest</t>
  </si>
  <si>
    <t>Financial liabilities</t>
  </si>
  <si>
    <t>Minority interest</t>
  </si>
  <si>
    <t>Net cash flow</t>
  </si>
  <si>
    <t>Other cash flow (plug)</t>
  </si>
  <si>
    <t>Net cas flow check</t>
  </si>
  <si>
    <t>D&amp;A as % of Beginning PPE</t>
  </si>
  <si>
    <t>Capex as a % of Beginning PPE</t>
  </si>
  <si>
    <t>Closing PPE</t>
  </si>
  <si>
    <t>D&amp;A (% of Beginning PPE)</t>
  </si>
  <si>
    <t>Capex (as % of Beginning PPE)</t>
  </si>
  <si>
    <t xml:space="preserve">Beginning PPE </t>
  </si>
  <si>
    <t>Debt Schedule</t>
  </si>
  <si>
    <t xml:space="preserve">New debt </t>
  </si>
  <si>
    <t>Principal repayment</t>
  </si>
  <si>
    <t xml:space="preserve">Interest rate </t>
  </si>
  <si>
    <t xml:space="preserve">Period </t>
  </si>
  <si>
    <t>Annual payment</t>
  </si>
  <si>
    <t>Ending debt</t>
  </si>
  <si>
    <t>Beginning debt</t>
  </si>
  <si>
    <t xml:space="preserve">Payment </t>
  </si>
  <si>
    <t>Principal  repayment</t>
  </si>
  <si>
    <t>Residual debt</t>
  </si>
  <si>
    <t>#E2FEF9</t>
  </si>
  <si>
    <t xml:space="preserve">Equity Schedule </t>
  </si>
  <si>
    <t>Beginning equity</t>
  </si>
  <si>
    <t>Increase of capital</t>
  </si>
  <si>
    <t>Dividends</t>
  </si>
  <si>
    <t>Ending equity</t>
  </si>
  <si>
    <t>PPE Schedule</t>
  </si>
  <si>
    <t xml:space="preserve">PPE Schedule </t>
  </si>
  <si>
    <t>Trade receivable days</t>
  </si>
  <si>
    <t xml:space="preserve">Trade payable turnover </t>
  </si>
  <si>
    <t xml:space="preserve">Trade payable days </t>
  </si>
  <si>
    <t xml:space="preserve">Trade receivable turnover </t>
  </si>
  <si>
    <t>Trade receivable (days)</t>
  </si>
  <si>
    <t>Inventory (days)</t>
  </si>
  <si>
    <t>Trade payable (days)</t>
  </si>
  <si>
    <t xml:space="preserve">5 yr revenue CARG </t>
  </si>
  <si>
    <t>Net earnings</t>
  </si>
  <si>
    <t>5 yr net earnings CARG</t>
  </si>
  <si>
    <t>10-year treasury note yield</t>
  </si>
  <si>
    <t>Enterprise value (XNPV)</t>
  </si>
  <si>
    <t>S&amp;P annual return (5 year period)</t>
  </si>
  <si>
    <t>Forecasts include retained earnigs</t>
  </si>
  <si>
    <t>Need to figure this out</t>
  </si>
  <si>
    <t>TTM Basis</t>
  </si>
  <si>
    <t>EV/Revenue</t>
  </si>
  <si>
    <t>Research and development</t>
  </si>
  <si>
    <t>Other operating expenses (% of revenue)</t>
  </si>
  <si>
    <t>Research and development (% of revenue)</t>
  </si>
  <si>
    <t>Cash and cash equivalents</t>
  </si>
  <si>
    <t>Total current assets</t>
  </si>
  <si>
    <t>Total assets</t>
  </si>
  <si>
    <t>Accounts payable</t>
  </si>
  <si>
    <t>Total current liabilities</t>
  </si>
  <si>
    <t>Total liabilities</t>
  </si>
  <si>
    <t>Equity</t>
  </si>
  <si>
    <t>P&amp;L</t>
  </si>
  <si>
    <t>Cash  Flow</t>
  </si>
  <si>
    <t xml:space="preserve">Input Data </t>
  </si>
  <si>
    <t>*</t>
  </si>
  <si>
    <t>Interest expense</t>
  </si>
  <si>
    <t>Other current assets</t>
  </si>
  <si>
    <t>Other non-current assets</t>
  </si>
  <si>
    <t>Other non-current liabilities</t>
  </si>
  <si>
    <t>Common stock</t>
  </si>
  <si>
    <t>Assets</t>
  </si>
  <si>
    <t>—</t>
  </si>
  <si>
    <t>Cash &amp; cash equivalents</t>
  </si>
  <si>
    <t>Other current liabilities</t>
  </si>
  <si>
    <t>Total debit to capital</t>
  </si>
  <si>
    <t xml:space="preserve">Net debt to EBITDA </t>
  </si>
  <si>
    <t>Interest coverage ( w EBITDA)</t>
  </si>
  <si>
    <t>Net debt to equity  (D/E)</t>
  </si>
  <si>
    <t>FCF return on capital</t>
  </si>
  <si>
    <t>FCF margin</t>
  </si>
  <si>
    <t>Cash Ratios</t>
  </si>
  <si>
    <t>FCF growth</t>
  </si>
  <si>
    <t>Caterpillar Inc. (CAT)</t>
  </si>
  <si>
    <t>Sales and Revenues:</t>
  </si>
  <si>
    <t>Sales (Machinery, Energy &amp; Transp./Power)</t>
  </si>
  <si>
    <t>Revenues of Financial Products</t>
  </si>
  <si>
    <t>Total Sales and Revenues</t>
  </si>
  <si>
    <t>Operating Costs:</t>
  </si>
  <si>
    <t>Cost of goods sold</t>
  </si>
  <si>
    <t>SG&amp;A expenses</t>
  </si>
  <si>
    <t>R&amp;D expenses</t>
  </si>
  <si>
    <t>Interest expense of Financial Products</t>
  </si>
  <si>
    <t>Goodwill impairment charge</t>
  </si>
  <si>
    <t>Other operating (income) expenses</t>
  </si>
  <si>
    <t>Total Operating Costs</t>
  </si>
  <si>
    <t>Operating Profit</t>
  </si>
  <si>
    <t>Interest exp. (excl. Financial Products)</t>
  </si>
  <si>
    <t>Other income (expense)</t>
  </si>
  <si>
    <t>Consolidated Profit Before Taxes</t>
  </si>
  <si>
    <t>Provision (benefit) for income taxes</t>
  </si>
  <si>
    <t>Equity in profit of unconsolidated affiliates</t>
  </si>
  <si>
    <t>Noncontrolling interests adjustment</t>
  </si>
  <si>
    <t>NET PROFIT</t>
  </si>
  <si>
    <t>Receivables – trade and other</t>
  </si>
  <si>
    <t>Receivables – finance</t>
  </si>
  <si>
    <t>Inventories</t>
  </si>
  <si>
    <t>Property, plant and equipment – net</t>
  </si>
  <si>
    <t>Long-term receivables (Trade &amp; Fin.)</t>
  </si>
  <si>
    <t>Goodwill &amp; Intangible assets</t>
  </si>
  <si>
    <t>Liabilities</t>
  </si>
  <si>
    <t>Short-term borrowings</t>
  </si>
  <si>
    <t>Accrued expenses &amp; wages</t>
  </si>
  <si>
    <t>Long-term debt due within 1 yr</t>
  </si>
  <si>
    <t>Long-term debt due after 1 yr</t>
  </si>
  <si>
    <t>Shareholders' Equity</t>
  </si>
  <si>
    <t>Treasury stock</t>
  </si>
  <si>
    <t>Profit employed in the business</t>
  </si>
  <si>
    <t>Accumulated other comp. loss</t>
  </si>
  <si>
    <t>Noncontrolling interests</t>
  </si>
  <si>
    <t>Total shareholders' equity</t>
  </si>
  <si>
    <t>Total liab. and equity</t>
  </si>
  <si>
    <t>Operating Activities:</t>
  </si>
  <si>
    <t>Profit (Consolidated &amp; Affiliated)</t>
  </si>
  <si>
    <t>Depreciation and Amortization</t>
  </si>
  <si>
    <t>Changes in Assets/Liabilities (Net)</t>
  </si>
  <si>
    <t>Other adjustments</t>
  </si>
  <si>
    <t>Net Cash from Operating Activities</t>
  </si>
  <si>
    <t>Investing Activities:</t>
  </si>
  <si>
    <t>Capital Expenditures (Excl. Leased)</t>
  </si>
  <si>
    <t>Additions to Finance Receivables</t>
  </si>
  <si>
    <t>Collections of Finance Receivables</t>
  </si>
  <si>
    <t>Other Investing (Net)</t>
  </si>
  <si>
    <t>Net Cash from Investing Activities</t>
  </si>
  <si>
    <t>Financing Activities:</t>
  </si>
  <si>
    <t>Dividends Paid</t>
  </si>
  <si>
    <t>Share Repurchases (Common Stock)</t>
  </si>
  <si>
    <t>Proceeds from Debt Issued</t>
  </si>
  <si>
    <t>Payments on Debt</t>
  </si>
  <si>
    <t>Other Financing (Net)</t>
  </si>
  <si>
    <t>Net Cash from Financing Activities</t>
  </si>
  <si>
    <t>Net Change in Cash</t>
  </si>
  <si>
    <t>Cash Balance (End of Year)</t>
  </si>
  <si>
    <t>Sales, general and administrative</t>
  </si>
  <si>
    <t>Sales, general and administrative (% of revenue)</t>
  </si>
  <si>
    <t xml:space="preserve">Sales, general and administrative  </t>
  </si>
  <si>
    <t>SG&amp;A</t>
  </si>
  <si>
    <t>Other operating expenses  (% of revenue)</t>
  </si>
  <si>
    <t xml:space="preserve">Other operating expenses </t>
  </si>
  <si>
    <t>Other operating expenses</t>
  </si>
  <si>
    <t>Trade and other receivables</t>
  </si>
  <si>
    <t xml:space="preserve">Other non current assets </t>
  </si>
  <si>
    <t>Goodwill and intagible assets</t>
  </si>
  <si>
    <t xml:space="preserve">Trade and other payables </t>
  </si>
  <si>
    <t>Other non current liabilities</t>
  </si>
  <si>
    <t>Deere &amp; Co</t>
  </si>
  <si>
    <t>Terex</t>
  </si>
  <si>
    <t>Komatsu</t>
  </si>
  <si>
    <t xml:space="preserve">Caterpillar </t>
  </si>
  <si>
    <t>(USDm)</t>
  </si>
  <si>
    <t>Hitachi</t>
  </si>
  <si>
    <t>Cummins</t>
  </si>
  <si>
    <t>Terminal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</si>
</sst>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%"/>
    <numFmt numFmtId="165" formatCode="#,##0;\(#,##0\)"/>
    <numFmt numFmtId="166" formatCode="0.0"/>
    <numFmt numFmtId="167" formatCode="_-* #,##0_-;\(#,##0\)_-;_-* &quot;-&quot;_-;_-@_-"/>
    <numFmt numFmtId="168" formatCode="#,##0.0"/>
  </numFmts>
  <fonts count="6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entury Gothic"/>
      <family val="2"/>
    </font>
    <font>
      <b/>
      <sz val="10"/>
      <color theme="1"/>
      <name val="Century Gothic"/>
      <family val="2"/>
    </font>
    <font>
      <b/>
      <sz val="14"/>
      <color theme="0"/>
      <name val="Century Gothic"/>
      <family val="2"/>
    </font>
    <font>
      <sz val="10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entury Gothic"/>
      <family val="2"/>
    </font>
    <font>
      <b/>
      <sz val="18"/>
      <color theme="0"/>
      <name val="Century Gothic"/>
      <family val="2"/>
    </font>
    <font>
      <sz val="11"/>
      <color theme="1"/>
      <name val="Century Gothic"/>
      <family val="2"/>
    </font>
    <font>
      <sz val="10"/>
      <color rgb="FF0000FF"/>
      <name val="Century Gothic"/>
      <family val="2"/>
    </font>
    <font>
      <sz val="10"/>
      <color theme="9" tint="-0.499984740745262"/>
      <name val="Century Gothic"/>
      <family val="2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Inconsolata"/>
      <family val="3"/>
    </font>
    <font>
      <b/>
      <sz val="10"/>
      <color theme="1"/>
      <name val="Inconsolata"/>
      <family val="3"/>
    </font>
    <font>
      <b/>
      <sz val="16"/>
      <color theme="1"/>
      <name val="Inconsolata"/>
      <family val="3"/>
    </font>
    <font>
      <sz val="11"/>
      <color theme="1"/>
      <name val="Inconsolata"/>
      <family val="3"/>
    </font>
    <font>
      <b/>
      <sz val="11"/>
      <color theme="1"/>
      <name val="Inconsolata"/>
      <family val="3"/>
    </font>
    <font>
      <u/>
      <sz val="11"/>
      <color theme="1"/>
      <name val="Inconsolata"/>
      <family val="3"/>
    </font>
    <font>
      <sz val="11"/>
      <color rgb="FF033E34"/>
      <name val="Inconsolata"/>
      <family val="3"/>
    </font>
    <font>
      <sz val="11"/>
      <color rgb="FFFF0000"/>
      <name val="Inconsolata"/>
      <family val="3"/>
    </font>
    <font>
      <b/>
      <sz val="18"/>
      <color theme="0"/>
      <name val="Inconsolata"/>
      <family val="3"/>
    </font>
    <font>
      <b/>
      <sz val="14"/>
      <color theme="0"/>
      <name val="Inconsolata"/>
      <family val="3"/>
    </font>
    <font>
      <b/>
      <sz val="11"/>
      <color theme="0"/>
      <name val="Inconsolata"/>
      <family val="3"/>
    </font>
    <font>
      <sz val="11"/>
      <color theme="0"/>
      <name val="Inconsolata"/>
      <family val="3"/>
    </font>
    <font>
      <b/>
      <sz val="10"/>
      <color theme="0"/>
      <name val="Inconsolata"/>
      <family val="3"/>
    </font>
    <font>
      <sz val="10"/>
      <color theme="9" tint="-0.499984740745262"/>
      <name val="Inconsolata"/>
      <family val="3"/>
    </font>
    <font>
      <i/>
      <sz val="10"/>
      <color theme="1"/>
      <name val="Inconsolata"/>
      <family val="3"/>
    </font>
    <font>
      <sz val="10"/>
      <color rgb="FF0000FF"/>
      <name val="Inconsolata"/>
      <family val="3"/>
    </font>
    <font>
      <sz val="10"/>
      <color rgb="FF0066FF"/>
      <name val="Inconsolata"/>
      <family val="3"/>
    </font>
    <font>
      <sz val="11"/>
      <color rgb="FF9C0006"/>
      <name val="Inconsolata"/>
      <family val="3"/>
    </font>
    <font>
      <sz val="11"/>
      <color rgb="FF0000FF"/>
      <name val="Inconsolata"/>
      <family val="3"/>
    </font>
    <font>
      <i/>
      <sz val="10"/>
      <color rgb="FFFF0000"/>
      <name val="Inconsolata"/>
      <family val="3"/>
    </font>
    <font>
      <sz val="11"/>
      <color theme="9" tint="-0.499984740745262"/>
      <name val="Inconsolata"/>
      <family val="3"/>
    </font>
    <font>
      <i/>
      <sz val="11"/>
      <color theme="1"/>
      <name val="Inconsolata"/>
      <family val="3"/>
    </font>
    <font>
      <sz val="11"/>
      <color rgb="FF0066FF"/>
      <name val="Inconsolata"/>
      <family val="3"/>
    </font>
    <font>
      <sz val="11"/>
      <color rgb="FF0070C0"/>
      <name val="Inconsolata"/>
      <family val="3"/>
    </font>
    <font>
      <b/>
      <sz val="11"/>
      <color theme="0" tint="-4.9989318521683403E-2"/>
      <name val="Inconsolata"/>
      <family val="3"/>
    </font>
    <font>
      <b/>
      <sz val="11"/>
      <color rgb="FF203764"/>
      <name val="Inconsolata"/>
      <family val="3"/>
    </font>
    <font>
      <sz val="11"/>
      <color theme="0" tint="-4.9989318521683403E-2"/>
      <name val="Inconsolata"/>
      <family val="3"/>
    </font>
    <font>
      <sz val="11"/>
      <color rgb="FF203764"/>
      <name val="Inconsolata"/>
      <family val="3"/>
    </font>
    <font>
      <i/>
      <sz val="11"/>
      <color rgb="FFFF0000"/>
      <name val="Inconsolata"/>
      <family val="3"/>
    </font>
    <font>
      <sz val="11"/>
      <name val="Inconsolata"/>
      <family val="3"/>
    </font>
    <font>
      <sz val="10"/>
      <color theme="0"/>
      <name val="Inconsolata"/>
      <family val="3"/>
    </font>
    <font>
      <i/>
      <sz val="11"/>
      <color rgb="FF0000FF"/>
      <name val="Inconsolata"/>
      <family val="3"/>
    </font>
    <font>
      <b/>
      <i/>
      <sz val="11"/>
      <color theme="1"/>
      <name val="Inconsolata"/>
      <family val="3"/>
    </font>
    <font>
      <i/>
      <sz val="10"/>
      <color theme="0"/>
      <name val="Inconsolata"/>
      <family val="3"/>
    </font>
    <font>
      <b/>
      <sz val="11"/>
      <color rgb="FF0000FF"/>
      <name val="Inconsolata"/>
      <family val="3"/>
    </font>
    <font>
      <b/>
      <sz val="11"/>
      <color rgb="FFFF0000"/>
      <name val="Inconsolata"/>
      <family val="3"/>
    </font>
    <font>
      <b/>
      <sz val="10"/>
      <color rgb="FFFF0000"/>
      <name val="Inconsolata"/>
      <family val="3"/>
    </font>
    <font>
      <sz val="10"/>
      <color rgb="FF000000"/>
      <name val="Calibri"/>
      <family val="2"/>
      <scheme val="minor"/>
    </font>
    <font>
      <sz val="10"/>
      <color theme="3"/>
      <name val="Inconsolata"/>
      <family val="3"/>
    </font>
    <font>
      <b/>
      <sz val="11"/>
      <color rgb="FF1F1F1F"/>
      <name val="Inconsolata"/>
      <family val="3"/>
    </font>
    <font>
      <sz val="11"/>
      <color rgb="FF1F1F1F"/>
      <name val="Inconsolata"/>
      <family val="3"/>
    </font>
    <font>
      <b/>
      <sz val="12"/>
      <color theme="1"/>
      <name val="Inconsolata"/>
      <family val="3"/>
    </font>
    <font>
      <sz val="12"/>
      <color theme="1"/>
      <name val="Inconsolata"/>
      <family val="3"/>
    </font>
    <font>
      <b/>
      <sz val="12"/>
      <color rgb="FF1F1F1F"/>
      <name val="Inconsolata"/>
      <family val="3"/>
    </font>
    <font>
      <sz val="12"/>
      <color rgb="FF1F1F1F"/>
      <name val="Inconsolata"/>
      <family val="3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7CE"/>
      </patternFill>
    </fill>
    <fill>
      <patternFill patternType="solid">
        <fgColor rgb="FFFFCCCC"/>
        <bgColor indexed="64"/>
      </patternFill>
    </fill>
    <fill>
      <patternFill patternType="solid">
        <fgColor rgb="FF033E34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9F223"/>
        <bgColor indexed="64"/>
      </patternFill>
    </fill>
    <fill>
      <patternFill patternType="solid">
        <fgColor rgb="FF336666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E2FEF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/>
      <top/>
      <bottom style="medium">
        <color theme="0"/>
      </bottom>
      <diagonal/>
    </border>
    <border>
      <left/>
      <right/>
      <top style="dashed">
        <color theme="1"/>
      </top>
      <bottom/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dashed">
        <color indexed="64"/>
      </top>
      <bottom/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/>
      <top/>
      <bottom style="medium">
        <color rgb="FFC9F223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0" fontId="14" fillId="4" borderId="0" applyNumberFormat="0" applyBorder="0" applyAlignment="0" applyProtection="0"/>
    <xf numFmtId="0" fontId="15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53" fillId="0" borderId="0"/>
  </cellStyleXfs>
  <cellXfs count="221">
    <xf numFmtId="0" fontId="0" fillId="0" borderId="0" xfId="0"/>
    <xf numFmtId="0" fontId="3" fillId="0" borderId="0" xfId="0" applyFont="1"/>
    <xf numFmtId="0" fontId="5" fillId="0" borderId="0" xfId="0" applyFont="1"/>
    <xf numFmtId="0" fontId="11" fillId="0" borderId="0" xfId="0" applyFont="1"/>
    <xf numFmtId="0" fontId="0" fillId="2" borderId="0" xfId="0" applyFill="1"/>
    <xf numFmtId="0" fontId="7" fillId="0" borderId="0" xfId="0" applyFont="1"/>
    <xf numFmtId="0" fontId="13" fillId="0" borderId="0" xfId="0" applyFont="1"/>
    <xf numFmtId="0" fontId="5" fillId="0" borderId="4" xfId="0" applyFont="1" applyBorder="1"/>
    <xf numFmtId="164" fontId="12" fillId="0" borderId="0" xfId="0" applyNumberFormat="1" applyFont="1"/>
    <xf numFmtId="9" fontId="5" fillId="0" borderId="0" xfId="1" applyFont="1"/>
    <xf numFmtId="0" fontId="1" fillId="6" borderId="0" xfId="0" applyFont="1" applyFill="1"/>
    <xf numFmtId="0" fontId="10" fillId="6" borderId="0" xfId="0" applyFont="1" applyFill="1" applyAlignment="1">
      <alignment horizontal="left"/>
    </xf>
    <xf numFmtId="0" fontId="4" fillId="6" borderId="0" xfId="0" applyFont="1" applyFill="1"/>
    <xf numFmtId="0" fontId="2" fillId="6" borderId="0" xfId="0" applyFont="1" applyFill="1" applyAlignment="1">
      <alignment horizontal="center"/>
    </xf>
    <xf numFmtId="0" fontId="9" fillId="6" borderId="0" xfId="0" applyFont="1" applyFill="1" applyAlignment="1">
      <alignment horizontal="left"/>
    </xf>
    <xf numFmtId="0" fontId="9" fillId="6" borderId="0" xfId="0" applyFont="1" applyFill="1"/>
    <xf numFmtId="0" fontId="8" fillId="6" borderId="0" xfId="0" applyFont="1" applyFill="1"/>
    <xf numFmtId="0" fontId="0" fillId="6" borderId="0" xfId="0" applyFill="1"/>
    <xf numFmtId="0" fontId="0" fillId="0" borderId="12" xfId="0" applyBorder="1"/>
    <xf numFmtId="0" fontId="16" fillId="0" borderId="0" xfId="0" applyFont="1"/>
    <xf numFmtId="0" fontId="8" fillId="7" borderId="0" xfId="0" applyFont="1" applyFill="1"/>
    <xf numFmtId="0" fontId="17" fillId="0" borderId="0" xfId="0" applyFont="1"/>
    <xf numFmtId="165" fontId="16" fillId="0" borderId="0" xfId="0" applyNumberFormat="1" applyFont="1"/>
    <xf numFmtId="0" fontId="16" fillId="0" borderId="1" xfId="0" applyFont="1" applyBorder="1"/>
    <xf numFmtId="0" fontId="18" fillId="0" borderId="0" xfId="0" applyFont="1"/>
    <xf numFmtId="165" fontId="19" fillId="0" borderId="0" xfId="0" applyNumberFormat="1" applyFont="1"/>
    <xf numFmtId="0" fontId="5" fillId="5" borderId="0" xfId="0" applyFont="1" applyFill="1"/>
    <xf numFmtId="0" fontId="19" fillId="0" borderId="0" xfId="0" applyFont="1"/>
    <xf numFmtId="0" fontId="19" fillId="8" borderId="0" xfId="0" applyFont="1" applyFill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6" borderId="0" xfId="0" applyFont="1" applyFill="1"/>
    <xf numFmtId="0" fontId="23" fillId="0" borderId="0" xfId="0" applyFont="1"/>
    <xf numFmtId="0" fontId="24" fillId="6" borderId="0" xfId="0" applyFont="1" applyFill="1" applyAlignment="1">
      <alignment horizontal="left"/>
    </xf>
    <xf numFmtId="0" fontId="25" fillId="6" borderId="0" xfId="0" applyFont="1" applyFill="1"/>
    <xf numFmtId="0" fontId="26" fillId="6" borderId="0" xfId="0" applyFont="1" applyFill="1" applyAlignment="1">
      <alignment horizontal="center"/>
    </xf>
    <xf numFmtId="0" fontId="27" fillId="6" borderId="0" xfId="0" applyFont="1" applyFill="1" applyAlignment="1">
      <alignment horizontal="left"/>
    </xf>
    <xf numFmtId="0" fontId="27" fillId="6" borderId="0" xfId="0" applyFont="1" applyFill="1"/>
    <xf numFmtId="0" fontId="19" fillId="6" borderId="0" xfId="0" applyFont="1" applyFill="1"/>
    <xf numFmtId="0" fontId="19" fillId="0" borderId="12" xfId="0" applyFont="1" applyBorder="1"/>
    <xf numFmtId="0" fontId="17" fillId="0" borderId="12" xfId="0" applyFont="1" applyBorder="1" applyAlignment="1">
      <alignment horizontal="center"/>
    </xf>
    <xf numFmtId="0" fontId="28" fillId="0" borderId="12" xfId="0" applyFont="1" applyBorder="1" applyAlignment="1">
      <alignment horizontal="center"/>
    </xf>
    <xf numFmtId="0" fontId="19" fillId="5" borderId="0" xfId="0" applyFont="1" applyFill="1"/>
    <xf numFmtId="0" fontId="17" fillId="0" borderId="0" xfId="0" applyFont="1" applyAlignment="1">
      <alignment horizontal="center"/>
    </xf>
    <xf numFmtId="0" fontId="17" fillId="2" borderId="0" xfId="0" applyFont="1" applyFill="1"/>
    <xf numFmtId="0" fontId="29" fillId="2" borderId="0" xfId="0" applyFont="1" applyFill="1"/>
    <xf numFmtId="0" fontId="30" fillId="0" borderId="0" xfId="0" applyFont="1"/>
    <xf numFmtId="1" fontId="31" fillId="0" borderId="0" xfId="0" applyNumberFormat="1" applyFont="1"/>
    <xf numFmtId="0" fontId="32" fillId="0" borderId="0" xfId="0" applyFont="1"/>
    <xf numFmtId="0" fontId="33" fillId="0" borderId="0" xfId="2" applyFont="1" applyFill="1"/>
    <xf numFmtId="164" fontId="16" fillId="0" borderId="0" xfId="0" applyNumberFormat="1" applyFont="1"/>
    <xf numFmtId="164" fontId="34" fillId="0" borderId="0" xfId="0" applyNumberFormat="1" applyFont="1" applyAlignment="1">
      <alignment horizontal="right"/>
    </xf>
    <xf numFmtId="3" fontId="16" fillId="0" borderId="0" xfId="0" applyNumberFormat="1" applyFont="1"/>
    <xf numFmtId="166" fontId="16" fillId="0" borderId="0" xfId="0" applyNumberFormat="1" applyFont="1"/>
    <xf numFmtId="166" fontId="31" fillId="0" borderId="0" xfId="0" applyNumberFormat="1" applyFont="1"/>
    <xf numFmtId="14" fontId="17" fillId="2" borderId="0" xfId="0" applyNumberFormat="1" applyFont="1" applyFill="1"/>
    <xf numFmtId="0" fontId="16" fillId="0" borderId="3" xfId="0" applyFont="1" applyBorder="1"/>
    <xf numFmtId="0" fontId="17" fillId="0" borderId="2" xfId="0" applyFont="1" applyBorder="1"/>
    <xf numFmtId="0" fontId="16" fillId="0" borderId="2" xfId="0" applyFont="1" applyBorder="1"/>
    <xf numFmtId="3" fontId="17" fillId="0" borderId="2" xfId="0" applyNumberFormat="1" applyFont="1" applyBorder="1"/>
    <xf numFmtId="0" fontId="26" fillId="6" borderId="0" xfId="0" applyFont="1" applyFill="1" applyAlignment="1">
      <alignment horizontal="left"/>
    </xf>
    <xf numFmtId="0" fontId="26" fillId="6" borderId="0" xfId="0" applyFont="1" applyFill="1"/>
    <xf numFmtId="0" fontId="20" fillId="0" borderId="12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2" borderId="0" xfId="0" applyFont="1" applyFill="1"/>
    <xf numFmtId="0" fontId="36" fillId="2" borderId="0" xfId="0" applyFont="1" applyFill="1"/>
    <xf numFmtId="0" fontId="37" fillId="0" borderId="0" xfId="0" applyFont="1"/>
    <xf numFmtId="1" fontId="34" fillId="0" borderId="0" xfId="0" applyNumberFormat="1" applyFont="1"/>
    <xf numFmtId="0" fontId="38" fillId="0" borderId="0" xfId="0" applyFont="1"/>
    <xf numFmtId="0" fontId="39" fillId="0" borderId="0" xfId="0" applyFont="1"/>
    <xf numFmtId="164" fontId="19" fillId="0" borderId="0" xfId="0" applyNumberFormat="1" applyFont="1"/>
    <xf numFmtId="9" fontId="34" fillId="0" borderId="0" xfId="0" applyNumberFormat="1" applyFont="1"/>
    <xf numFmtId="164" fontId="34" fillId="0" borderId="0" xfId="0" applyNumberFormat="1" applyFont="1"/>
    <xf numFmtId="3" fontId="19" fillId="0" borderId="0" xfId="0" applyNumberFormat="1" applyFont="1"/>
    <xf numFmtId="3" fontId="34" fillId="0" borderId="0" xfId="0" applyNumberFormat="1" applyFont="1"/>
    <xf numFmtId="166" fontId="19" fillId="0" borderId="0" xfId="0" applyNumberFormat="1" applyFont="1"/>
    <xf numFmtId="0" fontId="36" fillId="0" borderId="0" xfId="0" applyFont="1"/>
    <xf numFmtId="14" fontId="20" fillId="2" borderId="0" xfId="0" applyNumberFormat="1" applyFont="1" applyFill="1"/>
    <xf numFmtId="14" fontId="40" fillId="6" borderId="0" xfId="0" applyNumberFormat="1" applyFont="1" applyFill="1"/>
    <xf numFmtId="0" fontId="19" fillId="2" borderId="0" xfId="0" applyFont="1" applyFill="1" applyAlignment="1">
      <alignment horizontal="center"/>
    </xf>
    <xf numFmtId="0" fontId="36" fillId="6" borderId="0" xfId="0" applyFont="1" applyFill="1"/>
    <xf numFmtId="165" fontId="41" fillId="0" borderId="0" xfId="0" applyNumberFormat="1" applyFont="1"/>
    <xf numFmtId="165" fontId="20" fillId="0" borderId="0" xfId="0" applyNumberFormat="1" applyFont="1"/>
    <xf numFmtId="0" fontId="42" fillId="0" borderId="0" xfId="0" applyFont="1"/>
    <xf numFmtId="0" fontId="19" fillId="9" borderId="0" xfId="0" applyFont="1" applyFill="1"/>
    <xf numFmtId="0" fontId="19" fillId="0" borderId="3" xfId="0" applyFont="1" applyBorder="1"/>
    <xf numFmtId="165" fontId="43" fillId="0" borderId="3" xfId="0" applyNumberFormat="1" applyFont="1" applyBorder="1"/>
    <xf numFmtId="165" fontId="19" fillId="0" borderId="3" xfId="0" applyNumberFormat="1" applyFont="1" applyBorder="1"/>
    <xf numFmtId="164" fontId="44" fillId="0" borderId="0" xfId="1" applyNumberFormat="1" applyFont="1"/>
    <xf numFmtId="0" fontId="19" fillId="10" borderId="0" xfId="0" applyFont="1" applyFill="1"/>
    <xf numFmtId="0" fontId="20" fillId="0" borderId="3" xfId="0" applyFont="1" applyBorder="1"/>
    <xf numFmtId="165" fontId="20" fillId="0" borderId="3" xfId="0" applyNumberFormat="1" applyFont="1" applyBorder="1"/>
    <xf numFmtId="165" fontId="43" fillId="0" borderId="0" xfId="0" applyNumberFormat="1" applyFont="1"/>
    <xf numFmtId="165" fontId="19" fillId="0" borderId="6" xfId="0" applyNumberFormat="1" applyFont="1" applyBorder="1"/>
    <xf numFmtId="3" fontId="20" fillId="0" borderId="0" xfId="0" applyNumberFormat="1" applyFont="1"/>
    <xf numFmtId="165" fontId="45" fillId="0" borderId="0" xfId="0" applyNumberFormat="1" applyFont="1"/>
    <xf numFmtId="0" fontId="20" fillId="0" borderId="2" xfId="0" applyFont="1" applyBorder="1"/>
    <xf numFmtId="0" fontId="19" fillId="0" borderId="2" xfId="0" applyFont="1" applyBorder="1"/>
    <xf numFmtId="3" fontId="20" fillId="0" borderId="2" xfId="0" applyNumberFormat="1" applyFont="1" applyBorder="1"/>
    <xf numFmtId="0" fontId="20" fillId="0" borderId="8" xfId="0" applyFont="1" applyBorder="1"/>
    <xf numFmtId="0" fontId="19" fillId="0" borderId="8" xfId="0" applyFont="1" applyBorder="1"/>
    <xf numFmtId="3" fontId="20" fillId="0" borderId="8" xfId="0" applyNumberFormat="1" applyFont="1" applyBorder="1"/>
    <xf numFmtId="0" fontId="19" fillId="0" borderId="6" xfId="0" applyFont="1" applyBorder="1"/>
    <xf numFmtId="0" fontId="20" fillId="0" borderId="11" xfId="0" applyFont="1" applyBorder="1"/>
    <xf numFmtId="0" fontId="19" fillId="0" borderId="11" xfId="0" applyFont="1" applyBorder="1"/>
    <xf numFmtId="165" fontId="19" fillId="0" borderId="11" xfId="0" applyNumberFormat="1" applyFont="1" applyBorder="1"/>
    <xf numFmtId="0" fontId="16" fillId="2" borderId="0" xfId="0" applyFont="1" applyFill="1"/>
    <xf numFmtId="14" fontId="28" fillId="6" borderId="0" xfId="0" applyNumberFormat="1" applyFont="1" applyFill="1"/>
    <xf numFmtId="14" fontId="16" fillId="2" borderId="0" xfId="0" applyNumberFormat="1" applyFont="1" applyFill="1" applyAlignment="1">
      <alignment horizontal="center"/>
    </xf>
    <xf numFmtId="0" fontId="46" fillId="6" borderId="0" xfId="0" applyFont="1" applyFill="1"/>
    <xf numFmtId="0" fontId="16" fillId="0" borderId="10" xfId="0" applyFont="1" applyBorder="1"/>
    <xf numFmtId="3" fontId="16" fillId="0" borderId="10" xfId="0" applyNumberFormat="1" applyFont="1" applyBorder="1"/>
    <xf numFmtId="0" fontId="17" fillId="0" borderId="1" xfId="0" applyFont="1" applyBorder="1"/>
    <xf numFmtId="3" fontId="17" fillId="0" borderId="1" xfId="0" applyNumberFormat="1" applyFont="1" applyBorder="1"/>
    <xf numFmtId="0" fontId="24" fillId="6" borderId="0" xfId="0" applyFont="1" applyFill="1"/>
    <xf numFmtId="0" fontId="28" fillId="6" borderId="0" xfId="0" applyFont="1" applyFill="1"/>
    <xf numFmtId="0" fontId="31" fillId="0" borderId="0" xfId="0" applyFont="1"/>
    <xf numFmtId="0" fontId="19" fillId="2" borderId="0" xfId="0" applyFont="1" applyFill="1"/>
    <xf numFmtId="14" fontId="34" fillId="0" borderId="0" xfId="0" applyNumberFormat="1" applyFont="1"/>
    <xf numFmtId="14" fontId="34" fillId="0" borderId="0" xfId="0" applyNumberFormat="1" applyFont="1" applyAlignment="1">
      <alignment horizontal="right"/>
    </xf>
    <xf numFmtId="10" fontId="34" fillId="0" borderId="0" xfId="0" applyNumberFormat="1" applyFont="1"/>
    <xf numFmtId="0" fontId="34" fillId="0" borderId="0" xfId="0" applyFont="1"/>
    <xf numFmtId="14" fontId="37" fillId="0" borderId="0" xfId="0" applyNumberFormat="1" applyFont="1"/>
    <xf numFmtId="10" fontId="19" fillId="0" borderId="0" xfId="0" applyNumberFormat="1" applyFont="1"/>
    <xf numFmtId="0" fontId="47" fillId="0" borderId="0" xfId="0" applyFont="1"/>
    <xf numFmtId="9" fontId="19" fillId="0" borderId="0" xfId="0" applyNumberFormat="1" applyFont="1"/>
    <xf numFmtId="2" fontId="37" fillId="0" borderId="0" xfId="0" applyNumberFormat="1" applyFont="1"/>
    <xf numFmtId="10" fontId="19" fillId="0" borderId="6" xfId="0" applyNumberFormat="1" applyFont="1" applyBorder="1"/>
    <xf numFmtId="10" fontId="19" fillId="0" borderId="7" xfId="0" applyNumberFormat="1" applyFont="1" applyBorder="1"/>
    <xf numFmtId="3" fontId="19" fillId="0" borderId="7" xfId="0" applyNumberFormat="1" applyFont="1" applyBorder="1"/>
    <xf numFmtId="10" fontId="19" fillId="0" borderId="9" xfId="0" applyNumberFormat="1" applyFont="1" applyBorder="1"/>
    <xf numFmtId="167" fontId="37" fillId="0" borderId="0" xfId="4" applyNumberFormat="1" applyFont="1"/>
    <xf numFmtId="167" fontId="48" fillId="0" borderId="0" xfId="4" applyNumberFormat="1" applyFont="1"/>
    <xf numFmtId="167" fontId="48" fillId="0" borderId="0" xfId="4" applyNumberFormat="1" applyFont="1" applyAlignment="1">
      <alignment horizontal="center"/>
    </xf>
    <xf numFmtId="167" fontId="48" fillId="0" borderId="0" xfId="4" applyNumberFormat="1" applyFont="1" applyAlignment="1"/>
    <xf numFmtId="0" fontId="49" fillId="6" borderId="0" xfId="0" applyFont="1" applyFill="1"/>
    <xf numFmtId="164" fontId="34" fillId="3" borderId="0" xfId="0" applyNumberFormat="1" applyFont="1" applyFill="1" applyAlignment="1">
      <alignment horizontal="right"/>
    </xf>
    <xf numFmtId="14" fontId="26" fillId="6" borderId="0" xfId="0" applyNumberFormat="1" applyFont="1" applyFill="1" applyAlignment="1">
      <alignment horizontal="right"/>
    </xf>
    <xf numFmtId="164" fontId="34" fillId="3" borderId="0" xfId="0" applyNumberFormat="1" applyFont="1" applyFill="1"/>
    <xf numFmtId="166" fontId="34" fillId="3" borderId="0" xfId="0" applyNumberFormat="1" applyFont="1" applyFill="1"/>
    <xf numFmtId="0" fontId="27" fillId="6" borderId="0" xfId="0" applyFont="1" applyFill="1" applyAlignment="1">
      <alignment horizontal="center"/>
    </xf>
    <xf numFmtId="0" fontId="46" fillId="6" borderId="0" xfId="0" applyFont="1" applyFill="1" applyAlignment="1">
      <alignment horizontal="center"/>
    </xf>
    <xf numFmtId="3" fontId="50" fillId="0" borderId="0" xfId="0" applyNumberFormat="1" applyFont="1" applyAlignment="1">
      <alignment horizontal="right"/>
    </xf>
    <xf numFmtId="3" fontId="48" fillId="0" borderId="12" xfId="0" applyNumberFormat="1" applyFont="1" applyBorder="1"/>
    <xf numFmtId="14" fontId="26" fillId="6" borderId="12" xfId="0" applyNumberFormat="1" applyFont="1" applyFill="1" applyBorder="1"/>
    <xf numFmtId="164" fontId="19" fillId="0" borderId="0" xfId="1" applyNumberFormat="1" applyFont="1"/>
    <xf numFmtId="2" fontId="19" fillId="0" borderId="0" xfId="0" applyNumberFormat="1" applyFont="1"/>
    <xf numFmtId="0" fontId="20" fillId="0" borderId="0" xfId="0" applyFont="1" applyAlignment="1">
      <alignment horizontal="right"/>
    </xf>
    <xf numFmtId="3" fontId="16" fillId="0" borderId="3" xfId="0" applyNumberFormat="1" applyFont="1" applyBorder="1"/>
    <xf numFmtId="3" fontId="17" fillId="0" borderId="0" xfId="0" applyNumberFormat="1" applyFont="1"/>
    <xf numFmtId="3" fontId="19" fillId="0" borderId="3" xfId="0" applyNumberFormat="1" applyFont="1" applyBorder="1"/>
    <xf numFmtId="0" fontId="20" fillId="0" borderId="10" xfId="0" applyFont="1" applyBorder="1"/>
    <xf numFmtId="3" fontId="20" fillId="0" borderId="10" xfId="0" applyNumberFormat="1" applyFont="1" applyBorder="1"/>
    <xf numFmtId="3" fontId="19" fillId="0" borderId="11" xfId="0" applyNumberFormat="1" applyFont="1" applyBorder="1"/>
    <xf numFmtId="3" fontId="19" fillId="0" borderId="0" xfId="0" applyNumberFormat="1" applyFont="1" applyAlignment="1">
      <alignment horizontal="right"/>
    </xf>
    <xf numFmtId="0" fontId="29" fillId="0" borderId="0" xfId="0" applyFont="1"/>
    <xf numFmtId="0" fontId="17" fillId="0" borderId="6" xfId="0" applyFont="1" applyBorder="1"/>
    <xf numFmtId="3" fontId="17" fillId="0" borderId="6" xfId="0" applyNumberFormat="1" applyFont="1" applyBorder="1"/>
    <xf numFmtId="9" fontId="31" fillId="0" borderId="0" xfId="0" applyNumberFormat="1" applyFont="1"/>
    <xf numFmtId="168" fontId="16" fillId="0" borderId="0" xfId="0" applyNumberFormat="1" applyFont="1"/>
    <xf numFmtId="0" fontId="19" fillId="11" borderId="0" xfId="0" applyFont="1" applyFill="1"/>
    <xf numFmtId="164" fontId="19" fillId="11" borderId="0" xfId="1" applyNumberFormat="1" applyFont="1" applyFill="1"/>
    <xf numFmtId="0" fontId="5" fillId="11" borderId="0" xfId="0" applyFont="1" applyFill="1"/>
    <xf numFmtId="0" fontId="16" fillId="11" borderId="0" xfId="0" applyFont="1" applyFill="1"/>
    <xf numFmtId="164" fontId="16" fillId="11" borderId="0" xfId="1" applyNumberFormat="1" applyFont="1" applyFill="1"/>
    <xf numFmtId="168" fontId="16" fillId="0" borderId="1" xfId="0" applyNumberFormat="1" applyFont="1" applyBorder="1"/>
    <xf numFmtId="0" fontId="16" fillId="0" borderId="4" xfId="0" applyFont="1" applyBorder="1"/>
    <xf numFmtId="164" fontId="34" fillId="3" borderId="0" xfId="1" applyNumberFormat="1" applyFont="1" applyFill="1"/>
    <xf numFmtId="164" fontId="34" fillId="0" borderId="0" xfId="1" applyNumberFormat="1" applyFont="1"/>
    <xf numFmtId="0" fontId="52" fillId="0" borderId="12" xfId="0" applyFont="1" applyBorder="1" applyAlignment="1">
      <alignment horizontal="center"/>
    </xf>
    <xf numFmtId="0" fontId="51" fillId="0" borderId="12" xfId="0" applyFont="1" applyBorder="1" applyAlignment="1">
      <alignment horizontal="center"/>
    </xf>
    <xf numFmtId="164" fontId="31" fillId="11" borderId="0" xfId="1" applyNumberFormat="1" applyFont="1" applyFill="1"/>
    <xf numFmtId="164" fontId="31" fillId="0" borderId="0" xfId="1" applyNumberFormat="1" applyFont="1"/>
    <xf numFmtId="1" fontId="19" fillId="11" borderId="0" xfId="0" applyNumberFormat="1" applyFont="1" applyFill="1"/>
    <xf numFmtId="9" fontId="16" fillId="0" borderId="0" xfId="1" applyFont="1"/>
    <xf numFmtId="0" fontId="20" fillId="11" borderId="6" xfId="0" applyFont="1" applyFill="1" applyBorder="1"/>
    <xf numFmtId="0" fontId="20" fillId="11" borderId="0" xfId="0" applyFont="1" applyFill="1"/>
    <xf numFmtId="3" fontId="20" fillId="11" borderId="0" xfId="0" applyNumberFormat="1" applyFont="1" applyFill="1"/>
    <xf numFmtId="168" fontId="19" fillId="0" borderId="0" xfId="0" applyNumberFormat="1" applyFont="1"/>
    <xf numFmtId="168" fontId="19" fillId="0" borderId="1" xfId="0" applyNumberFormat="1" applyFont="1" applyBorder="1"/>
    <xf numFmtId="2" fontId="34" fillId="0" borderId="0" xfId="1" applyNumberFormat="1" applyFont="1"/>
    <xf numFmtId="0" fontId="35" fillId="0" borderId="0" xfId="0" applyFont="1" applyAlignment="1">
      <alignment horizontal="right"/>
    </xf>
    <xf numFmtId="3" fontId="16" fillId="11" borderId="0" xfId="0" applyNumberFormat="1" applyFont="1" applyFill="1"/>
    <xf numFmtId="0" fontId="27" fillId="0" borderId="12" xfId="0" applyFont="1" applyBorder="1"/>
    <xf numFmtId="164" fontId="27" fillId="0" borderId="12" xfId="0" applyNumberFormat="1" applyFont="1" applyBorder="1"/>
    <xf numFmtId="168" fontId="31" fillId="0" borderId="0" xfId="0" applyNumberFormat="1" applyFont="1"/>
    <xf numFmtId="168" fontId="31" fillId="0" borderId="0" xfId="0" applyNumberFormat="1" applyFont="1" applyAlignment="1">
      <alignment horizontal="right"/>
    </xf>
    <xf numFmtId="0" fontId="19" fillId="0" borderId="10" xfId="0" applyFont="1" applyBorder="1"/>
    <xf numFmtId="165" fontId="43" fillId="0" borderId="10" xfId="0" applyNumberFormat="1" applyFont="1" applyBorder="1"/>
    <xf numFmtId="165" fontId="19" fillId="0" borderId="10" xfId="0" applyNumberFormat="1" applyFont="1" applyBorder="1"/>
    <xf numFmtId="3" fontId="54" fillId="0" borderId="0" xfId="0" applyNumberFormat="1" applyFont="1"/>
    <xf numFmtId="3" fontId="54" fillId="0" borderId="10" xfId="0" applyNumberFormat="1" applyFont="1" applyBorder="1"/>
    <xf numFmtId="3" fontId="54" fillId="0" borderId="3" xfId="0" applyNumberFormat="1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40" fillId="6" borderId="0" xfId="0" applyFont="1" applyFill="1" applyAlignment="1">
      <alignment horizontal="center"/>
    </xf>
    <xf numFmtId="0" fontId="27" fillId="0" borderId="0" xfId="0" applyFont="1"/>
    <xf numFmtId="166" fontId="0" fillId="0" borderId="0" xfId="0" applyNumberFormat="1"/>
    <xf numFmtId="0" fontId="55" fillId="0" borderId="0" xfId="0" applyFont="1" applyAlignment="1">
      <alignment readingOrder="1"/>
    </xf>
    <xf numFmtId="0" fontId="56" fillId="0" borderId="0" xfId="0" applyFont="1" applyAlignment="1">
      <alignment readingOrder="1"/>
    </xf>
    <xf numFmtId="0" fontId="57" fillId="0" borderId="0" xfId="0" applyFont="1"/>
    <xf numFmtId="0" fontId="58" fillId="0" borderId="0" xfId="0" applyFont="1"/>
    <xf numFmtId="0" fontId="59" fillId="0" borderId="0" xfId="0" applyFont="1" applyAlignment="1">
      <alignment readingOrder="1"/>
    </xf>
    <xf numFmtId="0" fontId="60" fillId="0" borderId="0" xfId="0" applyFont="1" applyAlignment="1">
      <alignment readingOrder="1"/>
    </xf>
    <xf numFmtId="0" fontId="56" fillId="0" borderId="0" xfId="0" applyFont="1" applyAlignment="1">
      <alignment horizontal="left" indent="1" readingOrder="1"/>
    </xf>
    <xf numFmtId="0" fontId="15" fillId="0" borderId="0" xfId="3" applyBorder="1"/>
    <xf numFmtId="0" fontId="15" fillId="0" borderId="0" xfId="3"/>
    <xf numFmtId="164" fontId="0" fillId="11" borderId="0" xfId="1" applyNumberFormat="1" applyFont="1" applyFill="1"/>
    <xf numFmtId="9" fontId="5" fillId="11" borderId="0" xfId="1" applyFont="1" applyFill="1"/>
    <xf numFmtId="164" fontId="5" fillId="11" borderId="0" xfId="1" applyNumberFormat="1" applyFont="1" applyFill="1"/>
    <xf numFmtId="0" fontId="28" fillId="6" borderId="0" xfId="0" applyFont="1" applyFill="1" applyAlignment="1">
      <alignment horizontal="left"/>
    </xf>
    <xf numFmtId="0" fontId="28" fillId="6" borderId="5" xfId="0" applyFont="1" applyFill="1" applyBorder="1" applyAlignment="1">
      <alignment horizontal="center" vertical="center"/>
    </xf>
    <xf numFmtId="0" fontId="19" fillId="0" borderId="0" xfId="0" applyFont="1" applyFill="1"/>
    <xf numFmtId="0" fontId="26" fillId="0" borderId="0" xfId="0" applyFont="1" applyFill="1" applyAlignment="1">
      <alignment horizontal="right"/>
    </xf>
    <xf numFmtId="14" fontId="37" fillId="0" borderId="0" xfId="0" applyNumberFormat="1" applyFont="1" applyFill="1"/>
    <xf numFmtId="165" fontId="20" fillId="0" borderId="0" xfId="0" applyNumberFormat="1" applyFont="1" applyFill="1"/>
    <xf numFmtId="0" fontId="19" fillId="0" borderId="0" xfId="0" applyFont="1" applyFill="1" applyBorder="1"/>
    <xf numFmtId="0" fontId="0" fillId="0" borderId="0" xfId="0" applyFill="1" applyBorder="1"/>
    <xf numFmtId="165" fontId="19" fillId="0" borderId="0" xfId="0" applyNumberFormat="1" applyFont="1" applyFill="1" applyBorder="1"/>
  </cellXfs>
  <cellStyles count="6">
    <cellStyle name="Bad" xfId="2" builtinId="27"/>
    <cellStyle name="Comma" xfId="4" builtinId="3"/>
    <cellStyle name="Hyperlink" xfId="3" builtinId="8"/>
    <cellStyle name="Normal" xfId="0" builtinId="0"/>
    <cellStyle name="Normal 2" xfId="5" xr:uid="{A51A829F-436A-455C-B8B1-A0422476A7D3}"/>
    <cellStyle name="Percent" xfId="1" builtinId="5"/>
  </cellStyles>
  <dxfs count="3">
    <dxf>
      <font>
        <b val="0"/>
        <i/>
        <color rgb="FF00B05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00FF"/>
      <color rgb="FFE2FEF9"/>
      <color rgb="FF93FBE7"/>
      <color rgb="FFC9F223"/>
      <color rgb="FFFFCCCC"/>
      <color rgb="FFFF7C80"/>
      <color rgb="FF033E34"/>
      <color rgb="FFECFEFB"/>
      <color rgb="FF336666"/>
      <color rgb="FF2037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F55C-DB8C-41DA-9310-2C82D3D9B15B}">
  <sheetPr>
    <tabColor theme="4" tint="-0.499984740745262"/>
  </sheetPr>
  <dimension ref="B1:P26"/>
  <sheetViews>
    <sheetView showGridLines="0" tabSelected="1" topLeftCell="A2" zoomScale="110" zoomScaleNormal="110" workbookViewId="0">
      <selection activeCell="P4" sqref="P4"/>
    </sheetView>
  </sheetViews>
  <sheetFormatPr defaultRowHeight="14.4" x14ac:dyDescent="0.3"/>
  <cols>
    <col min="1" max="1" width="2.5546875" customWidth="1"/>
  </cols>
  <sheetData>
    <row r="1" spans="2:16" x14ac:dyDescent="0.3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2:16" ht="17.399999999999999" x14ac:dyDescent="0.3">
      <c r="B2" s="12"/>
      <c r="C2" s="12"/>
      <c r="D2" s="12"/>
      <c r="E2" s="10"/>
      <c r="F2" s="10"/>
      <c r="G2" s="10"/>
      <c r="H2" s="10"/>
      <c r="I2" s="10"/>
      <c r="J2" s="10"/>
      <c r="K2" s="13"/>
      <c r="L2" s="13"/>
      <c r="M2" s="13"/>
      <c r="N2" s="13"/>
      <c r="O2" s="13"/>
    </row>
    <row r="3" spans="2:16" x14ac:dyDescent="0.3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6" t="s">
        <v>104</v>
      </c>
      <c r="P3" s="20" t="s">
        <v>122</v>
      </c>
    </row>
    <row r="4" spans="2:16" ht="16.2" x14ac:dyDescent="0.45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8" t="s">
        <v>105</v>
      </c>
      <c r="P4" s="164" t="s">
        <v>217</v>
      </c>
    </row>
    <row r="5" spans="2:16" ht="16.2" x14ac:dyDescent="0.45">
      <c r="B5" s="29" t="s">
        <v>11</v>
      </c>
      <c r="C5" s="27"/>
      <c r="D5" s="27"/>
      <c r="E5" s="27" t="s">
        <v>273</v>
      </c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2:16" ht="16.2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2:16" ht="16.2" x14ac:dyDescent="0.45"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2:16" ht="16.2" x14ac:dyDescent="0.45"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9" spans="2:16" ht="16.2" x14ac:dyDescent="0.45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</row>
    <row r="10" spans="2:16" ht="16.2" x14ac:dyDescent="0.45"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</row>
    <row r="11" spans="2:16" ht="16.2" x14ac:dyDescent="0.45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2:16" ht="16.2" x14ac:dyDescent="0.45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</row>
    <row r="13" spans="2:16" ht="16.2" x14ac:dyDescent="0.45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2:16" ht="16.2" x14ac:dyDescent="0.45">
      <c r="B14" s="27"/>
      <c r="C14" s="27"/>
      <c r="D14" s="27"/>
      <c r="E14" s="29" t="s">
        <v>93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2:16" ht="16.2" x14ac:dyDescent="0.45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2:16" ht="16.2" x14ac:dyDescent="0.45">
      <c r="B16" s="27"/>
      <c r="C16" s="27"/>
      <c r="D16" s="27"/>
      <c r="E16" s="207" t="s">
        <v>252</v>
      </c>
      <c r="F16" s="27"/>
      <c r="G16" s="27"/>
      <c r="H16" s="27"/>
      <c r="I16" s="27"/>
      <c r="J16" s="27"/>
      <c r="K16" s="27"/>
      <c r="L16" s="30">
        <v>1</v>
      </c>
      <c r="M16" s="27"/>
      <c r="N16" s="27"/>
      <c r="O16" s="27"/>
    </row>
    <row r="17" spans="2:15" ht="16.2" x14ac:dyDescent="0.45">
      <c r="B17" s="27"/>
      <c r="C17" s="27"/>
      <c r="D17" s="27"/>
      <c r="E17" s="207" t="s">
        <v>1</v>
      </c>
      <c r="F17" s="27"/>
      <c r="G17" s="27"/>
      <c r="H17" s="27"/>
      <c r="I17" s="27"/>
      <c r="J17" s="27"/>
      <c r="K17" s="27"/>
      <c r="L17" s="30">
        <v>2</v>
      </c>
      <c r="M17" s="27"/>
      <c r="N17" s="27"/>
      <c r="O17" s="27"/>
    </row>
    <row r="18" spans="2:15" ht="16.2" x14ac:dyDescent="0.45">
      <c r="B18" s="27"/>
      <c r="C18" s="27"/>
      <c r="D18" s="27"/>
      <c r="E18" s="207" t="s">
        <v>253</v>
      </c>
      <c r="F18" s="27"/>
      <c r="G18" s="27"/>
      <c r="H18" s="27"/>
      <c r="I18" s="27"/>
      <c r="J18" s="27"/>
      <c r="K18" s="27"/>
      <c r="L18" s="30">
        <v>3</v>
      </c>
      <c r="M18" s="27"/>
      <c r="N18" s="27"/>
      <c r="O18" s="27"/>
    </row>
    <row r="19" spans="2:15" ht="16.2" x14ac:dyDescent="0.45">
      <c r="B19" s="27"/>
      <c r="C19" s="27"/>
      <c r="D19" s="27"/>
      <c r="E19" s="207" t="s">
        <v>36</v>
      </c>
      <c r="F19" s="27"/>
      <c r="G19" s="27"/>
      <c r="H19" s="27"/>
      <c r="I19" s="27"/>
      <c r="J19" s="27"/>
      <c r="K19" s="27"/>
      <c r="L19" s="30">
        <v>4</v>
      </c>
      <c r="M19" s="27"/>
      <c r="N19" s="27"/>
      <c r="O19" s="27"/>
    </row>
    <row r="20" spans="2:15" ht="16.2" x14ac:dyDescent="0.45">
      <c r="B20" s="27"/>
      <c r="C20" s="27"/>
      <c r="D20" s="27"/>
      <c r="E20" s="207" t="s">
        <v>94</v>
      </c>
      <c r="F20" s="27"/>
      <c r="G20" s="27"/>
      <c r="H20" s="27"/>
      <c r="I20" s="27"/>
      <c r="J20" s="27"/>
      <c r="K20" s="27"/>
      <c r="L20" s="30">
        <v>5</v>
      </c>
      <c r="M20" s="27"/>
      <c r="N20" s="27"/>
      <c r="O20" s="27"/>
    </row>
    <row r="21" spans="2:15" ht="16.2" x14ac:dyDescent="0.45">
      <c r="B21" s="27"/>
      <c r="C21" s="27"/>
      <c r="D21" s="27"/>
      <c r="E21" s="207" t="s">
        <v>69</v>
      </c>
      <c r="F21" s="27"/>
      <c r="G21" s="27"/>
      <c r="H21" s="27"/>
      <c r="I21" s="27"/>
      <c r="J21" s="27"/>
      <c r="K21" s="27"/>
      <c r="L21" s="30">
        <v>6</v>
      </c>
      <c r="M21" s="27"/>
      <c r="N21" s="27"/>
      <c r="O21" s="27"/>
    </row>
    <row r="22" spans="2:15" ht="16.2" x14ac:dyDescent="0.45">
      <c r="B22" s="27"/>
      <c r="C22" s="27"/>
      <c r="D22" s="27"/>
      <c r="E22" s="208" t="s">
        <v>9</v>
      </c>
      <c r="F22" s="27"/>
      <c r="G22" s="27"/>
      <c r="H22" s="27"/>
      <c r="I22" s="27"/>
      <c r="J22" s="27"/>
      <c r="K22" s="27"/>
      <c r="L22" s="30">
        <v>7</v>
      </c>
      <c r="M22" s="27"/>
      <c r="N22" s="27"/>
      <c r="O22" s="27"/>
    </row>
    <row r="23" spans="2:15" ht="16.2" x14ac:dyDescent="0.45">
      <c r="B23" s="27"/>
      <c r="C23" s="27"/>
      <c r="D23" s="27"/>
      <c r="E23" s="208" t="s">
        <v>22</v>
      </c>
      <c r="F23" s="31"/>
      <c r="G23" s="27"/>
      <c r="H23" s="27"/>
      <c r="I23" s="27"/>
      <c r="J23" s="27"/>
      <c r="K23" s="27"/>
      <c r="L23" s="30">
        <v>8</v>
      </c>
      <c r="M23" s="27"/>
      <c r="N23" s="27"/>
      <c r="O23" s="27"/>
    </row>
    <row r="24" spans="2:15" ht="16.2" x14ac:dyDescent="0.45">
      <c r="B24" s="27"/>
      <c r="C24" s="27"/>
      <c r="D24" s="27"/>
      <c r="E24" s="208" t="s">
        <v>254</v>
      </c>
      <c r="F24" s="27"/>
      <c r="G24" s="27"/>
      <c r="H24" s="27"/>
      <c r="I24" s="27"/>
      <c r="J24" s="27"/>
      <c r="K24" s="27"/>
      <c r="L24" s="30">
        <v>9</v>
      </c>
      <c r="M24" s="27"/>
      <c r="N24" s="27"/>
      <c r="O24" s="27"/>
    </row>
    <row r="25" spans="2:15" ht="16.2" x14ac:dyDescent="0.45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</row>
    <row r="26" spans="2:15" ht="16.2" x14ac:dyDescent="0.45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</row>
  </sheetData>
  <hyperlinks>
    <hyperlink ref="E16" location="'P&amp;L'!A1" display="P&amp;L" xr:uid="{F0284873-1C13-430B-B256-B2C950F96BE6}"/>
    <hyperlink ref="E17" location="'Balance Sheet '!A1" display="Balance Sheet" xr:uid="{6D7F44BF-811C-4E21-8917-AEC59580CF9B}"/>
    <hyperlink ref="E18" location="'Cash Flow'!A1" display="Cash  Flow" xr:uid="{19DA2EA8-C61D-47C5-941F-5DDB251BB566}"/>
    <hyperlink ref="E19" location="'DCF Model'!A1" display="DCF Model" xr:uid="{54304414-3996-4ECE-A88B-7CC659E8C450}"/>
    <hyperlink ref="E21" location="'Output Charts'!A1" display="Output Charts" xr:uid="{C9A33957-3614-4ECF-B209-210E328BC44D}"/>
    <hyperlink ref="E22" location="'Ratio Analysis'!A1" display="Ratio Analysis" xr:uid="{3B363702-2ADA-4B65-8ADF-6CDC499515B0}"/>
    <hyperlink ref="E20" location="'Comps Table'!A1" display="Comps Table" xr:uid="{7D1FDDD5-754C-4BBC-A34B-B25576DC7C4A}"/>
    <hyperlink ref="E23" location="Assumptions!A1" display="Assumptions" xr:uid="{A3538133-5DD2-4C27-BD3C-6972F3B61328}"/>
    <hyperlink ref="E24" location="'Input Data'!A1" display="Input Data " xr:uid="{4393D26D-74DC-4DFE-9EAA-39FC9ABCAC5E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83A07-0DF1-451D-9991-22628316F3D2}">
  <sheetPr>
    <tabColor rgb="FFC9F223"/>
  </sheetPr>
  <dimension ref="A1:AC99"/>
  <sheetViews>
    <sheetView showGridLines="0" zoomScale="80" zoomScaleNormal="80" workbookViewId="0">
      <pane ySplit="5" topLeftCell="A16" activePane="bottomLeft" state="frozen"/>
      <selection activeCell="P2" sqref="P2:P4"/>
      <selection pane="bottomLeft" activeCell="R17" sqref="R17"/>
    </sheetView>
  </sheetViews>
  <sheetFormatPr defaultRowHeight="14.4" x14ac:dyDescent="0.3"/>
  <cols>
    <col min="1" max="1" width="2.5546875" customWidth="1"/>
    <col min="6" max="8" width="12.77734375" customWidth="1"/>
    <col min="9" max="11" width="13.77734375" customWidth="1"/>
    <col min="12" max="18" width="14.77734375" customWidth="1"/>
    <col min="19" max="20" width="12.77734375" customWidth="1"/>
    <col min="28" max="28" width="10.44140625" customWidth="1"/>
  </cols>
  <sheetData>
    <row r="1" spans="1:29" ht="16.2" x14ac:dyDescent="0.4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33"/>
      <c r="U1" s="27"/>
      <c r="V1" s="27"/>
      <c r="W1" s="27"/>
      <c r="X1" s="27"/>
      <c r="Y1" s="27"/>
    </row>
    <row r="2" spans="1:29" ht="16.2" x14ac:dyDescent="0.45">
      <c r="B2" s="61" t="s">
        <v>71</v>
      </c>
      <c r="C2" s="62"/>
      <c r="D2" s="62"/>
      <c r="E2" s="62"/>
      <c r="F2" s="62"/>
      <c r="G2" s="62"/>
      <c r="H2" s="32"/>
      <c r="I2" s="32"/>
      <c r="J2" s="32"/>
      <c r="K2" s="32"/>
      <c r="L2" s="36"/>
      <c r="M2" s="36"/>
      <c r="N2" s="36"/>
      <c r="O2" s="36"/>
      <c r="P2" s="36"/>
      <c r="Q2" s="36"/>
      <c r="R2" s="36"/>
      <c r="S2" s="33"/>
      <c r="T2" s="33"/>
      <c r="U2" s="27"/>
      <c r="V2" s="27"/>
      <c r="W2" s="27"/>
      <c r="X2" s="27"/>
      <c r="Y2" s="27"/>
    </row>
    <row r="3" spans="1:29" ht="16.2" x14ac:dyDescent="0.45">
      <c r="B3" s="37" t="str">
        <f ca="1">'Cover Page'!E5&amp;" | "&amp;TEXT(TODAY(),"mmmm d, yyyy")</f>
        <v>Caterpillar Inc. (CAT) | February 11, 2026</v>
      </c>
      <c r="C3" s="38"/>
      <c r="D3" s="38"/>
      <c r="E3" s="38"/>
      <c r="F3" s="38"/>
      <c r="G3" s="38"/>
      <c r="H3" s="38"/>
      <c r="I3" s="39"/>
      <c r="J3" s="39"/>
      <c r="K3" s="39"/>
      <c r="L3" s="39"/>
      <c r="M3" s="39"/>
      <c r="N3" s="39"/>
      <c r="O3" s="39"/>
      <c r="P3" s="39"/>
      <c r="Q3" s="39"/>
      <c r="R3" s="39"/>
      <c r="S3" s="27"/>
      <c r="T3" s="27"/>
      <c r="U3" s="27"/>
      <c r="V3" s="27"/>
      <c r="W3" s="27"/>
      <c r="X3" s="27"/>
      <c r="Y3" s="27"/>
    </row>
    <row r="4" spans="1:29" ht="16.2" x14ac:dyDescent="0.45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33"/>
    </row>
    <row r="5" spans="1:29" ht="16.8" thickBot="1" x14ac:dyDescent="0.5">
      <c r="B5" s="145" t="str">
        <f>+Assumptions!$D$11</f>
        <v>USD' millions</v>
      </c>
      <c r="C5" s="40"/>
      <c r="D5" s="40"/>
      <c r="E5" s="40"/>
      <c r="F5" s="40"/>
      <c r="G5" s="40"/>
      <c r="H5" s="40"/>
      <c r="I5" s="63"/>
      <c r="J5" s="63"/>
      <c r="K5" s="63"/>
      <c r="L5" s="64"/>
      <c r="M5" s="64"/>
      <c r="N5" s="172"/>
      <c r="O5" s="64"/>
      <c r="P5" s="64"/>
      <c r="Q5" s="195"/>
      <c r="R5" s="195"/>
      <c r="S5" s="29" t="s">
        <v>91</v>
      </c>
      <c r="T5" s="43" t="s">
        <v>85</v>
      </c>
      <c r="U5" s="27"/>
      <c r="V5" s="27"/>
      <c r="W5" s="27"/>
      <c r="X5" s="27"/>
      <c r="Y5" s="27"/>
    </row>
    <row r="6" spans="1:29" ht="16.2" x14ac:dyDescent="0.45">
      <c r="A6" s="2"/>
      <c r="B6" s="27"/>
      <c r="C6" s="27"/>
      <c r="D6" s="27"/>
      <c r="E6" s="27"/>
      <c r="F6" s="27"/>
      <c r="G6" s="27"/>
      <c r="H6" s="27"/>
      <c r="I6" s="65"/>
      <c r="J6" s="65"/>
      <c r="K6" s="65"/>
      <c r="L6" s="65"/>
      <c r="M6" s="65"/>
      <c r="N6" s="65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"/>
      <c r="AA6" s="2"/>
      <c r="AB6" s="2"/>
      <c r="AC6" s="2"/>
    </row>
    <row r="7" spans="1:29" ht="16.2" x14ac:dyDescent="0.45">
      <c r="A7" s="2"/>
      <c r="B7" s="66" t="s">
        <v>142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27"/>
      <c r="T7" s="27"/>
      <c r="U7" s="27"/>
      <c r="V7" s="27"/>
      <c r="W7" s="27"/>
      <c r="X7" s="27"/>
      <c r="Y7" s="27"/>
      <c r="Z7" s="2"/>
      <c r="AA7" s="2"/>
      <c r="AB7" s="2"/>
      <c r="AC7" s="2"/>
    </row>
    <row r="8" spans="1:29" ht="16.2" x14ac:dyDescent="0.45">
      <c r="A8" s="2"/>
      <c r="B8" s="68" t="s">
        <v>29</v>
      </c>
      <c r="C8" s="27"/>
      <c r="D8" s="27"/>
      <c r="E8" s="27"/>
      <c r="F8" s="27"/>
      <c r="G8" s="69">
        <v>365</v>
      </c>
      <c r="H8" s="69">
        <v>365</v>
      </c>
      <c r="I8" s="69">
        <v>365</v>
      </c>
      <c r="J8" s="69">
        <v>365</v>
      </c>
      <c r="K8" s="69">
        <v>365</v>
      </c>
      <c r="L8" s="69">
        <v>365</v>
      </c>
      <c r="M8" s="69">
        <v>365</v>
      </c>
      <c r="N8" s="69">
        <v>365</v>
      </c>
      <c r="O8" s="69">
        <v>365</v>
      </c>
      <c r="P8" s="69">
        <v>365</v>
      </c>
      <c r="Q8" s="69">
        <v>365</v>
      </c>
      <c r="R8" s="69">
        <v>365</v>
      </c>
      <c r="S8" s="27"/>
      <c r="T8" s="27"/>
      <c r="U8" s="27"/>
      <c r="V8" s="27"/>
      <c r="W8" s="27"/>
      <c r="X8" s="27"/>
      <c r="Y8" s="27"/>
      <c r="Z8" s="2"/>
      <c r="AA8" s="2"/>
      <c r="AB8" s="2"/>
      <c r="AC8" s="2"/>
    </row>
    <row r="9" spans="1:29" ht="16.2" x14ac:dyDescent="0.45">
      <c r="A9" s="2"/>
      <c r="S9" s="29"/>
      <c r="T9" s="50"/>
      <c r="U9" s="27"/>
      <c r="V9" s="27"/>
      <c r="W9" s="27"/>
      <c r="X9" s="27"/>
      <c r="Y9" s="27"/>
      <c r="Z9" s="2"/>
      <c r="AA9" s="2"/>
      <c r="AB9" s="2"/>
      <c r="AC9" s="2"/>
    </row>
    <row r="10" spans="1:29" ht="16.2" x14ac:dyDescent="0.45">
      <c r="A10" s="2"/>
      <c r="B10" s="29" t="s">
        <v>143</v>
      </c>
      <c r="C10" s="27"/>
      <c r="D10" s="71"/>
      <c r="E10" s="71"/>
      <c r="F10" s="71"/>
      <c r="G10" s="71"/>
      <c r="H10" s="70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"/>
      <c r="AA10" s="2"/>
      <c r="AB10" s="2"/>
      <c r="AC10" s="2"/>
    </row>
    <row r="11" spans="1:29" ht="16.2" x14ac:dyDescent="0.45">
      <c r="A11" s="2"/>
      <c r="B11" s="27" t="str">
        <f>+Assumptions!B17</f>
        <v>Revenue growth (% change)</v>
      </c>
      <c r="C11" s="27"/>
      <c r="D11" s="27"/>
      <c r="E11" s="27"/>
      <c r="F11" s="27"/>
      <c r="G11" s="72"/>
      <c r="H11" s="72"/>
      <c r="I11" s="72"/>
      <c r="J11" s="72"/>
      <c r="K11" s="72"/>
      <c r="L11" s="73">
        <f ca="1">OFFSET(Assumptions!G17,MATCH('P&amp;L'!$T$5,Assumptions!$B$18:$B$20,0),0)</f>
        <v>7.0000000000000007E-2</v>
      </c>
      <c r="M11" s="73">
        <f ca="1">OFFSET(Assumptions!H17,MATCH('P&amp;L'!$T$5,Assumptions!$B$18:$B$20,0),0)</f>
        <v>7.0000000000000007E-2</v>
      </c>
      <c r="N11" s="73">
        <f ca="1">OFFSET(Assumptions!I17,MATCH('P&amp;L'!$T$5,Assumptions!$B$18:$B$20,0),0)</f>
        <v>0.05</v>
      </c>
      <c r="O11" s="73">
        <f ca="1">OFFSET(Assumptions!J17,MATCH('P&amp;L'!$T$5,Assumptions!$B$18:$B$20,0),0)</f>
        <v>0.05</v>
      </c>
      <c r="P11" s="73">
        <f ca="1">OFFSET(Assumptions!K17,MATCH('P&amp;L'!$T$5,Assumptions!$B$18:$B$20,0),0)</f>
        <v>0.05</v>
      </c>
      <c r="Q11" s="73">
        <f ca="1">OFFSET(Assumptions!L17,MATCH('P&amp;L'!$T$5,Assumptions!$B$18:$B$20,0),0)</f>
        <v>0.05</v>
      </c>
      <c r="R11" s="73">
        <f ca="1">OFFSET(Assumptions!M17,MATCH('P&amp;L'!$T$5,Assumptions!$B$18:$B$20,0),0)</f>
        <v>0.05</v>
      </c>
      <c r="S11" s="27"/>
      <c r="T11" s="27"/>
      <c r="U11" s="27"/>
      <c r="V11" s="27"/>
      <c r="W11" s="27"/>
      <c r="X11" s="27"/>
      <c r="Y11" s="27"/>
      <c r="Z11" s="2"/>
      <c r="AA11" s="2"/>
      <c r="AB11" s="2"/>
      <c r="AC11" s="2"/>
    </row>
    <row r="12" spans="1:29" ht="16.2" x14ac:dyDescent="0.45">
      <c r="A12" s="2"/>
      <c r="B12" s="27" t="str">
        <f>+Assumptions!B22</f>
        <v>Cost of sales (% of revenue)</v>
      </c>
      <c r="C12" s="27"/>
      <c r="D12" s="27"/>
      <c r="E12" s="27"/>
      <c r="F12" s="27"/>
      <c r="G12" s="72"/>
      <c r="H12" s="72"/>
      <c r="I12" s="72"/>
      <c r="J12" s="72"/>
      <c r="K12" s="72"/>
      <c r="L12" s="74">
        <f ca="1">OFFSET(Assumptions!G22,MATCH('P&amp;L'!$T$5,Assumptions!$B$23:$B$25,0),0)</f>
        <v>0.66</v>
      </c>
      <c r="M12" s="74">
        <f ca="1">OFFSET(Assumptions!H22,MATCH('P&amp;L'!$T$5,Assumptions!$B$23:$B$25,0),0)</f>
        <v>0.66</v>
      </c>
      <c r="N12" s="74">
        <f ca="1">OFFSET(Assumptions!I22,MATCH('P&amp;L'!$T$5,Assumptions!$B$23:$B$25,0),0)</f>
        <v>0.63</v>
      </c>
      <c r="O12" s="74">
        <f ca="1">OFFSET(Assumptions!J22,MATCH('P&amp;L'!$T$5,Assumptions!$B$23:$B$25,0),0)</f>
        <v>0.63</v>
      </c>
      <c r="P12" s="74">
        <f ca="1">OFFSET(Assumptions!K22,MATCH('P&amp;L'!$T$5,Assumptions!$B$23:$B$25,0),0)</f>
        <v>0.63</v>
      </c>
      <c r="Q12" s="74">
        <f ca="1">OFFSET(Assumptions!L22,MATCH('P&amp;L'!$T$5,Assumptions!$B$23:$B$25,0),0)</f>
        <v>0.63</v>
      </c>
      <c r="R12" s="74">
        <f ca="1">OFFSET(Assumptions!M22,MATCH('P&amp;L'!$T$5,Assumptions!$B$23:$B$25,0),0)</f>
        <v>0.63</v>
      </c>
      <c r="S12" s="27"/>
      <c r="T12" s="27"/>
      <c r="U12" s="27"/>
      <c r="V12" s="27"/>
      <c r="W12" s="27"/>
      <c r="X12" s="27"/>
      <c r="Y12" s="27"/>
      <c r="Z12" s="2"/>
      <c r="AA12" s="2"/>
      <c r="AB12" s="2"/>
      <c r="AC12" s="2"/>
    </row>
    <row r="13" spans="1:29" ht="16.2" x14ac:dyDescent="0.45">
      <c r="A13" s="2"/>
      <c r="B13" s="27" t="str">
        <f>+Assumptions!B27</f>
        <v>Sales, general and administrative (% of revenue)</v>
      </c>
      <c r="C13" s="27"/>
      <c r="D13" s="27"/>
      <c r="E13" s="27"/>
      <c r="F13" s="27"/>
      <c r="G13" s="72"/>
      <c r="H13" s="72"/>
      <c r="I13" s="72"/>
      <c r="J13" s="72"/>
      <c r="K13" s="72"/>
      <c r="L13" s="74">
        <f ca="1">OFFSET(Assumptions!G27,MATCH('P&amp;L'!$T$5,Assumptions!$B$28:$B$30,0),0)</f>
        <v>6.3500000000000001E-2</v>
      </c>
      <c r="M13" s="74">
        <f ca="1">OFFSET(Assumptions!H27,MATCH('P&amp;L'!$T$5,Assumptions!$B$28:$B$30,0),0)</f>
        <v>6.3500000000000001E-2</v>
      </c>
      <c r="N13" s="74">
        <f ca="1">OFFSET(Assumptions!I27,MATCH('P&amp;L'!$T$5,Assumptions!$B$28:$B$30,0),0)</f>
        <v>6.4500000000000002E-2</v>
      </c>
      <c r="O13" s="74">
        <f ca="1">OFFSET(Assumptions!J27,MATCH('P&amp;L'!$T$5,Assumptions!$B$28:$B$30,0),0)</f>
        <v>6.4500000000000002E-2</v>
      </c>
      <c r="P13" s="74">
        <f ca="1">OFFSET(Assumptions!K27,MATCH('P&amp;L'!$T$5,Assumptions!$B$28:$B$30,0),0)</f>
        <v>6.4500000000000002E-2</v>
      </c>
      <c r="Q13" s="74">
        <f ca="1">OFFSET(Assumptions!L27,MATCH('P&amp;L'!$T$5,Assumptions!$B$28:$B$30,0),0)</f>
        <v>6.4500000000000002E-2</v>
      </c>
      <c r="R13" s="74">
        <f ca="1">OFFSET(Assumptions!M27,MATCH('P&amp;L'!$T$5,Assumptions!$B$28:$B$30,0),0)</f>
        <v>6.4500000000000002E-2</v>
      </c>
      <c r="S13" s="72"/>
      <c r="T13" s="27"/>
      <c r="U13" s="27"/>
      <c r="V13" s="27"/>
      <c r="W13" s="27"/>
      <c r="X13" s="27"/>
      <c r="Y13" s="27"/>
      <c r="Z13" s="2"/>
      <c r="AA13" s="2"/>
      <c r="AB13" s="2"/>
      <c r="AC13" s="2"/>
    </row>
    <row r="14" spans="1:29" ht="16.2" x14ac:dyDescent="0.45">
      <c r="A14" s="2"/>
      <c r="B14" s="27" t="str">
        <f>+Assumptions!B32</f>
        <v>Research and development (% of revenue)</v>
      </c>
      <c r="C14" s="27"/>
      <c r="D14" s="27"/>
      <c r="E14" s="27"/>
      <c r="F14" s="27"/>
      <c r="G14" s="72"/>
      <c r="H14" s="72"/>
      <c r="I14" s="72"/>
      <c r="J14" s="72"/>
      <c r="K14" s="72"/>
      <c r="L14" s="52">
        <f ca="1">OFFSET(Assumptions!G32,MATCH('P&amp;L'!$T$5,Assumptions!$B$33:$B$35,0),0)</f>
        <v>3.3000000000000002E-2</v>
      </c>
      <c r="M14" s="52">
        <f ca="1">OFFSET(Assumptions!H32,MATCH('P&amp;L'!$T$5,Assumptions!$B$33:$B$35,0),0)</f>
        <v>3.3000000000000002E-2</v>
      </c>
      <c r="N14" s="52">
        <f ca="1">OFFSET(Assumptions!I32,MATCH('P&amp;L'!$T$5,Assumptions!$B$33:$B$35,0),0)</f>
        <v>3.2000000000000001E-2</v>
      </c>
      <c r="O14" s="52">
        <f ca="1">OFFSET(Assumptions!J32,MATCH('P&amp;L'!$T$5,Assumptions!$B$33:$B$35,0),0)</f>
        <v>3.2000000000000001E-2</v>
      </c>
      <c r="P14" s="52">
        <f ca="1">OFFSET(Assumptions!K32,MATCH('P&amp;L'!$T$5,Assumptions!$B$33:$B$35,0),0)</f>
        <v>3.2000000000000001E-2</v>
      </c>
      <c r="Q14" s="52">
        <f ca="1">OFFSET(Assumptions!L32,MATCH('P&amp;L'!$T$5,Assumptions!$B$33:$B$35,0),0)</f>
        <v>3.2000000000000001E-2</v>
      </c>
      <c r="R14" s="52">
        <f ca="1">OFFSET(Assumptions!M32,MATCH('P&amp;L'!$T$5,Assumptions!$B$33:$B$35,0),0)</f>
        <v>3.2000000000000001E-2</v>
      </c>
      <c r="S14" s="72"/>
      <c r="T14" s="27"/>
      <c r="U14" s="27"/>
      <c r="V14" s="27"/>
      <c r="W14" s="27"/>
      <c r="X14" s="27"/>
      <c r="Y14" s="27"/>
      <c r="Z14" s="2"/>
      <c r="AA14" s="2"/>
      <c r="AB14" s="2"/>
      <c r="AC14" s="2"/>
    </row>
    <row r="15" spans="1:29" ht="16.2" x14ac:dyDescent="0.45">
      <c r="A15" s="2"/>
      <c r="B15" s="27" t="s">
        <v>243</v>
      </c>
      <c r="C15" s="27"/>
      <c r="D15" s="27"/>
      <c r="E15" s="27"/>
      <c r="F15" s="27"/>
      <c r="G15" s="75"/>
      <c r="H15" s="75"/>
      <c r="I15" s="75"/>
      <c r="J15" s="75"/>
      <c r="K15" s="75"/>
      <c r="L15" s="170">
        <f ca="1">OFFSET(Assumptions!G37,MATCH('P&amp;L'!$T$5,Assumptions!$B$38:$B$40,0),0)</f>
        <v>3.7999999999999999E-2</v>
      </c>
      <c r="M15" s="170">
        <f ca="1">OFFSET(Assumptions!H37,MATCH('P&amp;L'!$T$5,Assumptions!$B$38:$B$40,0),0)</f>
        <v>3.7999999999999999E-2</v>
      </c>
      <c r="N15" s="170">
        <f ca="1">OFFSET(Assumptions!I37,MATCH('P&amp;L'!$T$5,Assumptions!$B$38:$B$40,0),0)</f>
        <v>0.04</v>
      </c>
      <c r="O15" s="170">
        <f ca="1">OFFSET(Assumptions!J37,MATCH('P&amp;L'!$T$5,Assumptions!$B$38:$B$40,0),0)</f>
        <v>0.04</v>
      </c>
      <c r="P15" s="170">
        <f ca="1">OFFSET(Assumptions!K37,MATCH('P&amp;L'!$T$5,Assumptions!$B$38:$B$40,0),0)</f>
        <v>0.04</v>
      </c>
      <c r="Q15" s="170">
        <f ca="1">OFFSET(Assumptions!L37,MATCH('P&amp;L'!$T$5,Assumptions!$B$38:$B$40,0),0)</f>
        <v>0.04</v>
      </c>
      <c r="R15" s="170">
        <f ca="1">OFFSET(Assumptions!M37,MATCH('P&amp;L'!$T$5,Assumptions!$B$38:$B$40,0),0)</f>
        <v>0.04</v>
      </c>
      <c r="S15" s="27"/>
      <c r="T15" s="27"/>
      <c r="U15" s="27"/>
      <c r="V15" s="27"/>
      <c r="W15" s="27"/>
      <c r="X15" s="27"/>
      <c r="Y15" s="27"/>
      <c r="Z15" s="2"/>
      <c r="AA15" s="2"/>
      <c r="AB15" s="2"/>
      <c r="AC15" s="2"/>
    </row>
    <row r="16" spans="1:29" ht="16.2" x14ac:dyDescent="0.45">
      <c r="A16" s="2"/>
      <c r="B16" s="27" t="str">
        <f>+Assumptions!B42</f>
        <v>D&amp;A (% of Beginning PPE)</v>
      </c>
      <c r="C16" s="27"/>
      <c r="D16" s="27"/>
      <c r="E16" s="27"/>
      <c r="F16" s="27"/>
      <c r="G16" s="75"/>
      <c r="H16" s="75"/>
      <c r="I16" s="75"/>
      <c r="J16" s="75"/>
      <c r="K16" s="75"/>
      <c r="L16" s="170">
        <f ca="1">OFFSET(Assumptions!G42,MATCH('P&amp;L'!$T$5,Assumptions!$B$43:$B$45,0),0)</f>
        <v>0.17499999999999999</v>
      </c>
      <c r="M16" s="170">
        <f ca="1">OFFSET(Assumptions!H42,MATCH('P&amp;L'!$T$5,Assumptions!$B$43:$B$45,0),0)</f>
        <v>0.17499999999999999</v>
      </c>
      <c r="N16" s="170">
        <f ca="1">OFFSET(Assumptions!I42,MATCH('P&amp;L'!$T$5,Assumptions!$B$43:$B$45,0),0)</f>
        <v>0.16500000000000001</v>
      </c>
      <c r="O16" s="170">
        <f ca="1">OFFSET(Assumptions!J42,MATCH('P&amp;L'!$T$5,Assumptions!$B$43:$B$45,0),0)</f>
        <v>0.16500000000000001</v>
      </c>
      <c r="P16" s="170">
        <f ca="1">OFFSET(Assumptions!K42,MATCH('P&amp;L'!$T$5,Assumptions!$B$43:$B$45,0),0)</f>
        <v>0.16500000000000001</v>
      </c>
      <c r="Q16" s="170">
        <f ca="1">OFFSET(Assumptions!L42,MATCH('P&amp;L'!$T$5,Assumptions!$B$43:$B$45,0),0)</f>
        <v>0.16500000000000001</v>
      </c>
      <c r="R16" s="170">
        <f ca="1">OFFSET(Assumptions!M42,MATCH('P&amp;L'!$T$5,Assumptions!$B$43:$B$45,0),0)</f>
        <v>0.16500000000000001</v>
      </c>
      <c r="S16" s="27"/>
      <c r="T16" s="27"/>
      <c r="U16" s="27"/>
      <c r="V16" s="27"/>
      <c r="W16" s="27"/>
      <c r="X16" s="27"/>
      <c r="Y16" s="27"/>
      <c r="Z16" s="2"/>
      <c r="AA16" s="2"/>
      <c r="AB16" s="2"/>
      <c r="AC16" s="2"/>
    </row>
    <row r="17" spans="1:29" ht="16.2" x14ac:dyDescent="0.45">
      <c r="A17" s="2"/>
      <c r="B17" s="27" t="str">
        <f>+Assumptions!B47</f>
        <v>Tax rate (% of Earnings Before Tax)</v>
      </c>
      <c r="C17" s="27"/>
      <c r="D17" s="27"/>
      <c r="E17" s="27"/>
      <c r="F17" s="27"/>
      <c r="G17" s="72"/>
      <c r="H17" s="72"/>
      <c r="I17" s="72"/>
      <c r="J17" s="72"/>
      <c r="K17" s="72"/>
      <c r="L17" s="73">
        <f ca="1">OFFSET(Assumptions!G47,MATCH('P&amp;L'!$T$5,Assumptions!$B$48:$B$50,0),0)</f>
        <v>0.21</v>
      </c>
      <c r="M17" s="73">
        <f ca="1">OFFSET(Assumptions!H47,MATCH('P&amp;L'!$T$5,Assumptions!$B$48:$B$50,0),0)</f>
        <v>0.21</v>
      </c>
      <c r="N17" s="73">
        <f ca="1">OFFSET(Assumptions!I47,MATCH('P&amp;L'!$T$5,Assumptions!$B$48:$B$50,0),0)</f>
        <v>0.21</v>
      </c>
      <c r="O17" s="73">
        <f ca="1">OFFSET(Assumptions!J47,MATCH('P&amp;L'!$T$5,Assumptions!$B$48:$B$50,0),0)</f>
        <v>0.21</v>
      </c>
      <c r="P17" s="73">
        <f ca="1">OFFSET(Assumptions!K47,MATCH('P&amp;L'!$T$5,Assumptions!$B$48:$B$50,0),0)</f>
        <v>0.21</v>
      </c>
      <c r="Q17" s="73">
        <f ca="1">OFFSET(Assumptions!L47,MATCH('P&amp;L'!$T$5,Assumptions!$B$48:$B$50,0),0)</f>
        <v>0.21</v>
      </c>
      <c r="R17" s="73">
        <f ca="1">OFFSET(Assumptions!M47,MATCH('P&amp;L'!$T$5,Assumptions!$B$48:$B$50,0),0)</f>
        <v>0.21</v>
      </c>
      <c r="S17" s="27"/>
      <c r="T17" s="27"/>
      <c r="U17" s="27"/>
      <c r="V17" s="27"/>
      <c r="W17" s="27"/>
      <c r="X17" s="27"/>
      <c r="Y17" s="27"/>
      <c r="Z17" s="2"/>
      <c r="AA17" s="2"/>
      <c r="AB17" s="2"/>
      <c r="AC17" s="2"/>
    </row>
    <row r="18" spans="1:29" ht="16.2" x14ac:dyDescent="0.45">
      <c r="A18" s="2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"/>
      <c r="AA18" s="2"/>
      <c r="AB18" s="2"/>
      <c r="AC18" s="2"/>
    </row>
    <row r="19" spans="1:29" ht="16.2" x14ac:dyDescent="0.45">
      <c r="A19" s="2"/>
      <c r="B19" s="66" t="s">
        <v>0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27"/>
      <c r="T19" s="27"/>
      <c r="U19" s="27"/>
      <c r="V19" s="27"/>
      <c r="W19" s="27"/>
      <c r="X19" s="27"/>
      <c r="Y19" s="27"/>
      <c r="Z19" s="2"/>
      <c r="AA19" s="2"/>
      <c r="AB19" s="2"/>
      <c r="AC19" s="2"/>
    </row>
    <row r="20" spans="1:29" ht="16.2" x14ac:dyDescent="0.45">
      <c r="A20" s="2"/>
      <c r="B20" s="29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27"/>
      <c r="T20" s="27"/>
      <c r="U20" s="27"/>
      <c r="V20" s="27"/>
      <c r="W20" s="27"/>
      <c r="X20" s="27"/>
      <c r="Y20" s="27"/>
      <c r="Z20" s="2"/>
      <c r="AA20" s="2"/>
      <c r="AB20" s="2"/>
      <c r="AC20" s="2"/>
    </row>
    <row r="21" spans="1:29" ht="16.2" x14ac:dyDescent="0.45">
      <c r="A21" s="2" t="s">
        <v>27</v>
      </c>
      <c r="B21" s="68" t="s">
        <v>95</v>
      </c>
      <c r="C21" s="78"/>
      <c r="D21" s="78"/>
      <c r="E21" s="78"/>
      <c r="F21" s="78"/>
      <c r="G21" s="79">
        <f t="shared" ref="G21:H21" si="0">+DATE(YEAR(H21)-1,MONTH(H21),DAY(H21))</f>
        <v>44561</v>
      </c>
      <c r="H21" s="79">
        <f t="shared" si="0"/>
        <v>44926</v>
      </c>
      <c r="I21" s="79">
        <f>+DATE(YEAR(J21)-1,MONTH(J21),DAY(J21))</f>
        <v>45291</v>
      </c>
      <c r="J21" s="79">
        <f>+DATE(YEAR(K21)-1,MONTH(K21),DAY(K21))</f>
        <v>45657</v>
      </c>
      <c r="K21" s="79">
        <f>+DATE(YEAR(Assumptions!$D$10)-1,MONTH(Assumptions!$D$10),DAY(Assumptions!$D$10))</f>
        <v>46022</v>
      </c>
      <c r="L21" s="80">
        <f>+DATE(YEAR(K21)+1,MONTH(K21),DAY(K21))</f>
        <v>46387</v>
      </c>
      <c r="M21" s="80">
        <f t="shared" ref="M21:P21" si="1">+DATE(YEAR(L21)+1,MONTH(L21),DAY(L21))</f>
        <v>46752</v>
      </c>
      <c r="N21" s="80">
        <f t="shared" si="1"/>
        <v>47118</v>
      </c>
      <c r="O21" s="80">
        <f t="shared" si="1"/>
        <v>47483</v>
      </c>
      <c r="P21" s="80">
        <f t="shared" si="1"/>
        <v>47848</v>
      </c>
      <c r="Q21" s="80">
        <f t="shared" ref="Q21" si="2">+DATE(YEAR(P21)+1,MONTH(P21),DAY(P21))</f>
        <v>48213</v>
      </c>
      <c r="R21" s="80">
        <f t="shared" ref="R21" si="3">+DATE(YEAR(Q21)+1,MONTH(Q21),DAY(Q21))</f>
        <v>48579</v>
      </c>
      <c r="S21" s="27"/>
      <c r="T21" s="27"/>
      <c r="U21" s="27"/>
      <c r="V21" s="27"/>
      <c r="W21" s="27"/>
      <c r="X21" s="27"/>
      <c r="Y21" s="27"/>
      <c r="Z21" s="2"/>
      <c r="AA21" s="2"/>
      <c r="AB21" s="2"/>
      <c r="AC21" s="2"/>
    </row>
    <row r="22" spans="1:29" ht="16.2" x14ac:dyDescent="0.45">
      <c r="A22" s="2"/>
      <c r="B22" s="29"/>
      <c r="C22" s="78"/>
      <c r="D22" s="78"/>
      <c r="E22" s="78"/>
      <c r="F22" s="78"/>
      <c r="G22" s="81" t="s">
        <v>131</v>
      </c>
      <c r="H22" s="81" t="s">
        <v>131</v>
      </c>
      <c r="I22" s="81" t="s">
        <v>131</v>
      </c>
      <c r="J22" s="81" t="s">
        <v>131</v>
      </c>
      <c r="K22" s="81" t="s">
        <v>131</v>
      </c>
      <c r="L22" s="142" t="s">
        <v>132</v>
      </c>
      <c r="M22" s="142" t="s">
        <v>132</v>
      </c>
      <c r="N22" s="142" t="s">
        <v>132</v>
      </c>
      <c r="O22" s="142" t="s">
        <v>132</v>
      </c>
      <c r="P22" s="142" t="s">
        <v>132</v>
      </c>
      <c r="Q22" s="142" t="s">
        <v>132</v>
      </c>
      <c r="R22" s="142" t="s">
        <v>132</v>
      </c>
      <c r="S22" s="27"/>
      <c r="T22" s="27"/>
      <c r="U22" s="27"/>
      <c r="V22" s="27"/>
      <c r="W22" s="27"/>
      <c r="X22" s="27"/>
      <c r="Y22" s="27"/>
      <c r="Z22" s="2"/>
      <c r="AA22" s="2"/>
      <c r="AB22" s="2"/>
      <c r="AC22" s="2"/>
    </row>
    <row r="23" spans="1:29" ht="16.2" x14ac:dyDescent="0.45">
      <c r="A23" s="2"/>
      <c r="B23" s="29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27"/>
      <c r="T23" s="27"/>
      <c r="U23" s="27"/>
      <c r="V23" s="27"/>
      <c r="W23" s="27"/>
      <c r="X23" s="27"/>
      <c r="Y23" s="27"/>
      <c r="Z23" s="2"/>
      <c r="AA23" s="2"/>
      <c r="AB23" s="2"/>
      <c r="AC23" s="2"/>
    </row>
    <row r="24" spans="1:29" ht="16.2" x14ac:dyDescent="0.45">
      <c r="A24" s="2"/>
      <c r="B24" s="29" t="s">
        <v>3</v>
      </c>
      <c r="C24" s="27"/>
      <c r="D24" s="27"/>
      <c r="E24" s="27"/>
      <c r="F24" s="27"/>
      <c r="G24" s="83">
        <f>+'Input Data'!E8</f>
        <v>50971</v>
      </c>
      <c r="H24" s="83">
        <f>+'Input Data'!F8</f>
        <v>59427</v>
      </c>
      <c r="I24" s="83">
        <f>+'Input Data'!G8</f>
        <v>67060</v>
      </c>
      <c r="J24" s="83">
        <f>+'Input Data'!H8</f>
        <v>64809</v>
      </c>
      <c r="K24" s="83">
        <f>+'Input Data'!I8</f>
        <v>67589</v>
      </c>
      <c r="L24" s="84">
        <f ca="1">+K$24*(1+L$11)</f>
        <v>72320.23000000001</v>
      </c>
      <c r="M24" s="84">
        <f t="shared" ref="M24:P24" ca="1" si="4">+L$24*(1+M$11)</f>
        <v>77382.646100000013</v>
      </c>
      <c r="N24" s="84">
        <f t="shared" ca="1" si="4"/>
        <v>81251.778405000019</v>
      </c>
      <c r="O24" s="84">
        <f t="shared" ca="1" si="4"/>
        <v>85314.36732525003</v>
      </c>
      <c r="P24" s="84">
        <f t="shared" ca="1" si="4"/>
        <v>89580.085691512533</v>
      </c>
      <c r="Q24" s="84">
        <f t="shared" ref="Q24" ca="1" si="5">+P$24*(1+Q$11)</f>
        <v>94059.089976088158</v>
      </c>
      <c r="R24" s="84">
        <f t="shared" ref="R24" ca="1" si="6">+Q$24*(1+R$11)</f>
        <v>98762.044474892566</v>
      </c>
      <c r="S24" s="27"/>
      <c r="T24" s="85"/>
      <c r="U24" s="86"/>
      <c r="V24" s="27"/>
      <c r="W24" s="27"/>
      <c r="X24" s="27"/>
      <c r="Y24" s="27"/>
      <c r="Z24" s="2"/>
      <c r="AA24" s="2"/>
      <c r="AB24" s="2"/>
      <c r="AC24" s="2"/>
    </row>
    <row r="25" spans="1:29" ht="16.2" x14ac:dyDescent="0.45">
      <c r="A25" s="2"/>
      <c r="B25" s="87" t="s">
        <v>133</v>
      </c>
      <c r="C25" s="87"/>
      <c r="D25" s="87"/>
      <c r="E25" s="87"/>
      <c r="F25" s="87"/>
      <c r="G25" s="88">
        <f>+'Input Data'!E11*-1</f>
        <v>-35513</v>
      </c>
      <c r="H25" s="88">
        <f>+'Input Data'!F11*-1</f>
        <v>-41350</v>
      </c>
      <c r="I25" s="88">
        <f>+'Input Data'!G11*-1</f>
        <v>-42767</v>
      </c>
      <c r="J25" s="88">
        <f>+'Input Data'!H11*-1</f>
        <v>-40199</v>
      </c>
      <c r="K25" s="88">
        <f>+'Input Data'!I11*-1</f>
        <v>-44752</v>
      </c>
      <c r="L25" s="89">
        <f ca="1">+L24*L$12*-1</f>
        <v>-47731.351800000011</v>
      </c>
      <c r="M25" s="89">
        <f t="shared" ref="M25:P25" ca="1" si="7">+M24*M$12*-1</f>
        <v>-51072.546426000008</v>
      </c>
      <c r="N25" s="89">
        <f t="shared" ca="1" si="7"/>
        <v>-51188.620395150014</v>
      </c>
      <c r="O25" s="89">
        <f t="shared" ca="1" si="7"/>
        <v>-53748.051414907517</v>
      </c>
      <c r="P25" s="89">
        <f t="shared" ca="1" si="7"/>
        <v>-56435.453985652894</v>
      </c>
      <c r="Q25" s="89">
        <f t="shared" ref="Q25:R25" ca="1" si="8">+Q24*Q$12*-1</f>
        <v>-59257.226684935544</v>
      </c>
      <c r="R25" s="89">
        <f t="shared" ca="1" si="8"/>
        <v>-62220.088019182316</v>
      </c>
      <c r="S25" s="27"/>
      <c r="T25" s="27"/>
      <c r="U25" s="27"/>
      <c r="V25" s="27"/>
      <c r="W25" s="27"/>
      <c r="X25" s="27"/>
      <c r="Y25" s="27"/>
      <c r="Z25" s="2"/>
      <c r="AA25" s="2"/>
      <c r="AB25" s="2"/>
      <c r="AC25" s="2"/>
    </row>
    <row r="26" spans="1:29" ht="16.2" x14ac:dyDescent="0.45">
      <c r="A26" s="2"/>
      <c r="B26" s="29" t="s">
        <v>135</v>
      </c>
      <c r="C26" s="27"/>
      <c r="D26" s="27"/>
      <c r="E26" s="27"/>
      <c r="F26" s="27"/>
      <c r="G26" s="84">
        <f>+SUM(G24:G25)</f>
        <v>15458</v>
      </c>
      <c r="H26" s="84">
        <f t="shared" ref="H26:P26" si="9">+SUM(H24:H25)</f>
        <v>18077</v>
      </c>
      <c r="I26" s="84">
        <f t="shared" si="9"/>
        <v>24293</v>
      </c>
      <c r="J26" s="84">
        <f t="shared" si="9"/>
        <v>24610</v>
      </c>
      <c r="K26" s="84">
        <f t="shared" si="9"/>
        <v>22837</v>
      </c>
      <c r="L26" s="84">
        <f t="shared" ca="1" si="9"/>
        <v>24588.878199999999</v>
      </c>
      <c r="M26" s="84">
        <f t="shared" ca="1" si="9"/>
        <v>26310.099674000005</v>
      </c>
      <c r="N26" s="84">
        <f t="shared" ca="1" si="9"/>
        <v>30063.158009850005</v>
      </c>
      <c r="O26" s="84">
        <f t="shared" ca="1" si="9"/>
        <v>31566.315910342513</v>
      </c>
      <c r="P26" s="84">
        <f t="shared" ca="1" si="9"/>
        <v>33144.63170585964</v>
      </c>
      <c r="Q26" s="84">
        <f t="shared" ref="Q26:R26" ca="1" si="10">+SUM(Q24:Q25)</f>
        <v>34801.863291152615</v>
      </c>
      <c r="R26" s="84">
        <f t="shared" ca="1" si="10"/>
        <v>36541.956455710249</v>
      </c>
      <c r="S26" s="27"/>
      <c r="T26" s="27"/>
      <c r="U26" s="27"/>
      <c r="V26" s="27"/>
      <c r="W26" s="27"/>
      <c r="X26" s="27"/>
      <c r="Y26" s="27"/>
      <c r="Z26" s="2"/>
      <c r="AA26" s="2"/>
      <c r="AB26" s="2"/>
      <c r="AC26" s="2"/>
    </row>
    <row r="27" spans="1:29" ht="16.2" x14ac:dyDescent="0.45">
      <c r="A27" s="2"/>
      <c r="B27" s="68" t="s">
        <v>134</v>
      </c>
      <c r="C27" s="27"/>
      <c r="D27" s="27"/>
      <c r="E27" s="27"/>
      <c r="F27" s="27"/>
      <c r="G27" s="90">
        <f>+G$26/G$24</f>
        <v>0.30327048713974614</v>
      </c>
      <c r="H27" s="90">
        <f t="shared" ref="H27:R27" si="11">+H$26/H$24</f>
        <v>0.30418833190300704</v>
      </c>
      <c r="I27" s="90">
        <f t="shared" si="11"/>
        <v>0.36225767968983003</v>
      </c>
      <c r="J27" s="90">
        <f t="shared" si="11"/>
        <v>0.3797312101714268</v>
      </c>
      <c r="K27" s="90">
        <f t="shared" si="11"/>
        <v>0.33788042432940274</v>
      </c>
      <c r="L27" s="90">
        <f t="shared" ca="1" si="11"/>
        <v>0.33999999999999991</v>
      </c>
      <c r="M27" s="90">
        <f t="shared" ca="1" si="11"/>
        <v>0.34</v>
      </c>
      <c r="N27" s="90">
        <f t="shared" ca="1" si="11"/>
        <v>0.37</v>
      </c>
      <c r="O27" s="90">
        <f t="shared" ca="1" si="11"/>
        <v>0.37000000000000005</v>
      </c>
      <c r="P27" s="90">
        <f t="shared" ca="1" si="11"/>
        <v>0.37000000000000005</v>
      </c>
      <c r="Q27" s="90">
        <f t="shared" ca="1" si="11"/>
        <v>0.36999999999999994</v>
      </c>
      <c r="R27" s="90">
        <f t="shared" ca="1" si="11"/>
        <v>0.37</v>
      </c>
      <c r="S27" s="27"/>
      <c r="T27" s="27"/>
      <c r="U27" s="91"/>
      <c r="V27" s="27"/>
      <c r="W27" s="27"/>
      <c r="X27" s="27"/>
      <c r="Y27" s="27"/>
      <c r="Z27" s="2"/>
      <c r="AA27" s="2"/>
      <c r="AB27" s="2"/>
      <c r="AC27" s="2"/>
    </row>
    <row r="28" spans="1:29" ht="16.2" x14ac:dyDescent="0.45">
      <c r="A28" s="2"/>
      <c r="B28" s="92" t="s">
        <v>136</v>
      </c>
      <c r="C28" s="87"/>
      <c r="D28" s="87"/>
      <c r="E28" s="87"/>
      <c r="F28" s="87"/>
      <c r="G28" s="93">
        <f t="shared" ref="G28:R28" si="12">+SUM(G29:G32)</f>
        <v>-8580</v>
      </c>
      <c r="H28" s="93">
        <f t="shared" si="12"/>
        <v>-10173</v>
      </c>
      <c r="I28" s="93">
        <f t="shared" si="12"/>
        <v>-11327</v>
      </c>
      <c r="J28" s="93">
        <f t="shared" si="12"/>
        <v>-11538</v>
      </c>
      <c r="K28" s="93">
        <f t="shared" si="12"/>
        <v>-11686</v>
      </c>
      <c r="L28" s="93">
        <f t="shared" ca="1" si="12"/>
        <v>-12376.570935000002</v>
      </c>
      <c r="M28" s="93">
        <f t="shared" ca="1" si="12"/>
        <v>-13401.90090045</v>
      </c>
      <c r="N28" s="93">
        <f t="shared" ca="1" si="12"/>
        <v>-14249.469177282503</v>
      </c>
      <c r="O28" s="93">
        <f t="shared" ca="1" si="12"/>
        <v>-14977.73564327163</v>
      </c>
      <c r="P28" s="93">
        <f t="shared" ca="1" si="12"/>
        <v>-15743.284047952086</v>
      </c>
      <c r="Q28" s="93">
        <f t="shared" ca="1" si="12"/>
        <v>-16548.026262104995</v>
      </c>
      <c r="R28" s="93">
        <f t="shared" ca="1" si="12"/>
        <v>-17393.972377612088</v>
      </c>
      <c r="S28" s="27"/>
      <c r="T28" s="27"/>
      <c r="U28" s="27"/>
      <c r="V28" s="27"/>
      <c r="W28" s="27"/>
      <c r="X28" s="27"/>
      <c r="Y28" s="27"/>
      <c r="Z28" s="2"/>
      <c r="AA28" s="2"/>
      <c r="AB28" s="2"/>
      <c r="AC28" s="2"/>
    </row>
    <row r="29" spans="1:29" ht="16.2" x14ac:dyDescent="0.45">
      <c r="A29" s="2"/>
      <c r="B29" s="27" t="s">
        <v>333</v>
      </c>
      <c r="C29" s="27"/>
      <c r="D29" s="27"/>
      <c r="E29" s="27"/>
      <c r="F29" s="27"/>
      <c r="G29" s="94">
        <f>+'Input Data'!E13*-1</f>
        <v>-3013</v>
      </c>
      <c r="H29" s="94">
        <f>+'Input Data'!F13*-1</f>
        <v>-3432</v>
      </c>
      <c r="I29" s="94">
        <f>+'Input Data'!G13*-1</f>
        <v>-4227</v>
      </c>
      <c r="J29" s="94">
        <f>+'Input Data'!H13*-1</f>
        <v>-4514</v>
      </c>
      <c r="K29" s="94">
        <f>+'Input Data'!I13*-1</f>
        <v>-4723</v>
      </c>
      <c r="L29" s="95">
        <f ca="1">+L$24*L$13*-1</f>
        <v>-4592.3346050000009</v>
      </c>
      <c r="M29" s="95">
        <f t="shared" ref="M29:R29" ca="1" si="13">+M$24*M$13*-1</f>
        <v>-4913.7980273500007</v>
      </c>
      <c r="N29" s="95">
        <f t="shared" ca="1" si="13"/>
        <v>-5240.7397071225014</v>
      </c>
      <c r="O29" s="95">
        <f t="shared" ca="1" si="13"/>
        <v>-5502.7766924786274</v>
      </c>
      <c r="P29" s="95">
        <f t="shared" ca="1" si="13"/>
        <v>-5777.9155271025584</v>
      </c>
      <c r="Q29" s="95">
        <f t="shared" ca="1" si="13"/>
        <v>-6066.8113034576863</v>
      </c>
      <c r="R29" s="95">
        <f t="shared" ca="1" si="13"/>
        <v>-6370.1518686305708</v>
      </c>
      <c r="S29" s="27"/>
      <c r="T29" s="27"/>
      <c r="U29" s="27"/>
      <c r="V29" s="27"/>
      <c r="W29" s="27"/>
      <c r="X29" s="27"/>
      <c r="Y29" s="27"/>
      <c r="Z29" s="2"/>
      <c r="AA29" s="2"/>
      <c r="AB29" s="2"/>
      <c r="AC29" s="2"/>
    </row>
    <row r="30" spans="1:29" ht="16.2" x14ac:dyDescent="0.45">
      <c r="A30" s="2"/>
      <c r="B30" s="27" t="s">
        <v>242</v>
      </c>
      <c r="C30" s="27"/>
      <c r="D30" s="27"/>
      <c r="E30" s="27"/>
      <c r="F30" s="27"/>
      <c r="G30" s="94">
        <f>+'Input Data'!E15*-1</f>
        <v>-1686</v>
      </c>
      <c r="H30" s="94">
        <f>+'Input Data'!F15*-1</f>
        <v>-1814</v>
      </c>
      <c r="I30" s="94">
        <f>+'Input Data'!G15*-1</f>
        <v>-2108</v>
      </c>
      <c r="J30" s="94">
        <f>+'Input Data'!H15*-1</f>
        <v>-2107</v>
      </c>
      <c r="K30" s="94">
        <f>+'Input Data'!I15*-1</f>
        <v>-2148</v>
      </c>
      <c r="L30" s="25">
        <f ca="1">+L$24*L$14*-1</f>
        <v>-2386.5675900000006</v>
      </c>
      <c r="M30" s="25">
        <f t="shared" ref="M30:R30" ca="1" si="14">+M$24*M$14*-1</f>
        <v>-2553.6273213000004</v>
      </c>
      <c r="N30" s="25">
        <f t="shared" ca="1" si="14"/>
        <v>-2600.0569089600008</v>
      </c>
      <c r="O30" s="25">
        <f t="shared" ca="1" si="14"/>
        <v>-2730.059754408001</v>
      </c>
      <c r="P30" s="25">
        <f t="shared" ca="1" si="14"/>
        <v>-2866.5627421284012</v>
      </c>
      <c r="Q30" s="25">
        <f t="shared" ca="1" si="14"/>
        <v>-3009.8908792348211</v>
      </c>
      <c r="R30" s="25">
        <f t="shared" ca="1" si="14"/>
        <v>-3160.385423196562</v>
      </c>
      <c r="S30" s="27"/>
      <c r="T30" s="27"/>
      <c r="U30" s="27"/>
      <c r="V30" s="27"/>
      <c r="W30" s="27"/>
      <c r="X30" s="27"/>
      <c r="Y30" s="27"/>
      <c r="Z30" s="2"/>
      <c r="AA30" s="2"/>
      <c r="AB30" s="2"/>
      <c r="AC30" s="2"/>
    </row>
    <row r="31" spans="1:29" ht="16.2" x14ac:dyDescent="0.45">
      <c r="A31" s="2"/>
      <c r="B31" s="27" t="s">
        <v>339</v>
      </c>
      <c r="C31" s="27"/>
      <c r="D31" s="27"/>
      <c r="E31" s="27"/>
      <c r="F31" s="27"/>
      <c r="G31" s="94">
        <f>+SUM('Input Data'!E16:E18)*-1</f>
        <v>-1529</v>
      </c>
      <c r="H31" s="94">
        <f>+SUM('Input Data'!F16:F18)*-1</f>
        <v>-2708</v>
      </c>
      <c r="I31" s="94">
        <f>+SUM('Input Data'!G16:G18)*-1</f>
        <v>-2848</v>
      </c>
      <c r="J31" s="94">
        <f>+SUM('Input Data'!H16:H18)*-1</f>
        <v>-2764</v>
      </c>
      <c r="K31" s="94">
        <f>+SUM('Input Data'!I16:I18)*-1</f>
        <v>-2553</v>
      </c>
      <c r="L31" s="25">
        <f ca="1">+L$24*L$15*-1</f>
        <v>-2748.1687400000005</v>
      </c>
      <c r="M31" s="25">
        <f t="shared" ref="M31:R31" ca="1" si="15">+M$24*M$15*-1</f>
        <v>-2940.5405518000002</v>
      </c>
      <c r="N31" s="25">
        <f t="shared" ca="1" si="15"/>
        <v>-3250.0711362000006</v>
      </c>
      <c r="O31" s="25">
        <f t="shared" ca="1" si="15"/>
        <v>-3412.5746930100013</v>
      </c>
      <c r="P31" s="25">
        <f t="shared" ca="1" si="15"/>
        <v>-3583.2034276605013</v>
      </c>
      <c r="Q31" s="25">
        <f t="shared" ca="1" si="15"/>
        <v>-3762.3635990435264</v>
      </c>
      <c r="R31" s="25">
        <f t="shared" ca="1" si="15"/>
        <v>-3950.4817789957028</v>
      </c>
      <c r="S31" s="27"/>
      <c r="T31" s="27"/>
      <c r="U31" s="27"/>
      <c r="V31" s="27"/>
      <c r="W31" s="27"/>
      <c r="X31" s="27"/>
      <c r="Y31" s="27"/>
      <c r="Z31" s="2"/>
      <c r="AA31" s="2"/>
      <c r="AB31" s="2"/>
      <c r="AC31" s="2"/>
    </row>
    <row r="32" spans="1:29" ht="16.2" x14ac:dyDescent="0.45">
      <c r="A32" s="2"/>
      <c r="B32" s="27" t="s">
        <v>125</v>
      </c>
      <c r="C32" s="27"/>
      <c r="D32" s="27"/>
      <c r="E32" s="27"/>
      <c r="F32" s="27"/>
      <c r="G32" s="94">
        <f>+'Input Data'!E14*-1</f>
        <v>-2352</v>
      </c>
      <c r="H32" s="94">
        <f>+'Input Data'!F14*-1</f>
        <v>-2219</v>
      </c>
      <c r="I32" s="94">
        <f>+'Input Data'!G14*-1</f>
        <v>-2144</v>
      </c>
      <c r="J32" s="94">
        <f>+'Input Data'!H14*-1</f>
        <v>-2153</v>
      </c>
      <c r="K32" s="94">
        <f>+'Input Data'!I14*-1</f>
        <v>-2262</v>
      </c>
      <c r="L32" s="25">
        <f ca="1">+'Balance Sheet '!L$47</f>
        <v>-2649.5</v>
      </c>
      <c r="M32" s="25">
        <f ca="1">+'Balance Sheet '!M$47</f>
        <v>-2993.9349999999999</v>
      </c>
      <c r="N32" s="25">
        <f ca="1">+'Balance Sheet '!N$47</f>
        <v>-3158.6014250000003</v>
      </c>
      <c r="O32" s="25">
        <f ca="1">+'Balance Sheet '!O$47</f>
        <v>-3332.3245033749999</v>
      </c>
      <c r="P32" s="25">
        <f ca="1">+'Balance Sheet '!P$47</f>
        <v>-3515.6023510606251</v>
      </c>
      <c r="Q32" s="25">
        <f ca="1">+'Balance Sheet '!Q$47</f>
        <v>-3708.9604803689595</v>
      </c>
      <c r="R32" s="25">
        <f ca="1">+'Balance Sheet '!R$47</f>
        <v>-3912.953306789253</v>
      </c>
      <c r="S32" s="27"/>
      <c r="T32" s="27"/>
      <c r="U32" s="27"/>
      <c r="V32" s="27"/>
      <c r="W32" s="27"/>
      <c r="X32" s="27"/>
      <c r="Y32" s="27"/>
      <c r="Z32" s="2"/>
      <c r="AA32" s="2"/>
      <c r="AB32" s="2"/>
      <c r="AC32" s="2"/>
    </row>
    <row r="33" spans="1:29" ht="16.2" x14ac:dyDescent="0.45">
      <c r="A33" s="2"/>
      <c r="B33" s="189" t="s">
        <v>187</v>
      </c>
      <c r="C33" s="189"/>
      <c r="D33" s="189"/>
      <c r="E33" s="189"/>
      <c r="F33" s="189"/>
      <c r="G33" s="190">
        <f>+'Input Data'!E24</f>
        <v>1814</v>
      </c>
      <c r="H33" s="190">
        <f>+'Input Data'!F24</f>
        <v>1291</v>
      </c>
      <c r="I33" s="190">
        <f>+'Input Data'!G24</f>
        <v>595</v>
      </c>
      <c r="J33" s="190">
        <f>+'Input Data'!H24</f>
        <v>813</v>
      </c>
      <c r="K33" s="190">
        <f>+'Input Data'!I24</f>
        <v>892</v>
      </c>
      <c r="L33" s="191"/>
      <c r="M33" s="191"/>
      <c r="N33" s="191"/>
      <c r="O33" s="191"/>
      <c r="P33" s="191"/>
      <c r="Q33" s="191"/>
      <c r="R33" s="191"/>
      <c r="S33" s="27"/>
      <c r="T33" s="27"/>
      <c r="U33" s="27"/>
      <c r="V33" s="27"/>
      <c r="W33" s="27"/>
      <c r="X33" s="27"/>
      <c r="Y33" s="27"/>
      <c r="Z33" s="2"/>
      <c r="AA33" s="2"/>
      <c r="AB33" s="2"/>
      <c r="AC33" s="2"/>
    </row>
    <row r="34" spans="1:29" ht="16.2" x14ac:dyDescent="0.45">
      <c r="A34" s="2"/>
      <c r="B34" s="29" t="s">
        <v>4</v>
      </c>
      <c r="C34" s="27"/>
      <c r="D34" s="27"/>
      <c r="E34" s="27"/>
      <c r="F34" s="27"/>
      <c r="G34" s="96">
        <f>+G$26+G$28+G33</f>
        <v>8692</v>
      </c>
      <c r="H34" s="96">
        <f t="shared" ref="H34:P34" si="16">+H$26+H$28+H33</f>
        <v>9195</v>
      </c>
      <c r="I34" s="96">
        <f t="shared" si="16"/>
        <v>13561</v>
      </c>
      <c r="J34" s="96">
        <f t="shared" si="16"/>
        <v>13885</v>
      </c>
      <c r="K34" s="96">
        <f t="shared" si="16"/>
        <v>12043</v>
      </c>
      <c r="L34" s="96">
        <f t="shared" ca="1" si="16"/>
        <v>12212.307264999998</v>
      </c>
      <c r="M34" s="96">
        <f t="shared" ca="1" si="16"/>
        <v>12908.198773550004</v>
      </c>
      <c r="N34" s="96">
        <f t="shared" ca="1" si="16"/>
        <v>15813.688832567503</v>
      </c>
      <c r="O34" s="96">
        <f t="shared" ca="1" si="16"/>
        <v>16588.580267070884</v>
      </c>
      <c r="P34" s="96">
        <f t="shared" ca="1" si="16"/>
        <v>17401.347657907554</v>
      </c>
      <c r="Q34" s="96">
        <f t="shared" ref="Q34:R34" ca="1" si="17">+Q$26+Q$28+Q33</f>
        <v>18253.83702904762</v>
      </c>
      <c r="R34" s="96">
        <f t="shared" ca="1" si="17"/>
        <v>19147.984078098161</v>
      </c>
      <c r="S34" s="27"/>
      <c r="T34" s="27"/>
      <c r="U34" s="27"/>
      <c r="V34" s="27"/>
      <c r="W34" s="27"/>
      <c r="X34" s="27"/>
      <c r="Y34" s="27"/>
      <c r="Z34" s="2"/>
      <c r="AA34" s="2"/>
      <c r="AB34" s="2"/>
      <c r="AC34" s="2"/>
    </row>
    <row r="35" spans="1:29" ht="16.2" x14ac:dyDescent="0.45">
      <c r="A35" s="2"/>
      <c r="B35" s="27" t="s">
        <v>256</v>
      </c>
      <c r="C35" s="27"/>
      <c r="D35" s="27"/>
      <c r="E35" s="27"/>
      <c r="F35" s="27"/>
      <c r="G35" s="94">
        <f>+'Input Data'!E23*-1</f>
        <v>-488</v>
      </c>
      <c r="H35" s="94">
        <f>+'Input Data'!F23*-1</f>
        <v>-443</v>
      </c>
      <c r="I35" s="94">
        <f>+'Input Data'!G23*-1</f>
        <v>-511</v>
      </c>
      <c r="J35" s="94">
        <f>+'Input Data'!H23*-1</f>
        <v>-512</v>
      </c>
      <c r="K35" s="94">
        <f>+'Input Data'!I23*-1</f>
        <v>-502</v>
      </c>
      <c r="L35" s="25">
        <f>+'Balance Sheet '!G$80</f>
        <v>-3033.1000000000004</v>
      </c>
      <c r="M35" s="25">
        <f>+'Balance Sheet '!H$80</f>
        <v>-2863.543678210458</v>
      </c>
      <c r="N35" s="25">
        <f>+'Balance Sheet '!I$80</f>
        <v>-2682.1184138956473</v>
      </c>
      <c r="O35" s="25">
        <f>+'Balance Sheet '!J$80</f>
        <v>-2487.9933810788002</v>
      </c>
      <c r="P35" s="25">
        <f>+'Balance Sheet '!K$80</f>
        <v>-2280.2795959647738</v>
      </c>
      <c r="Q35" s="25">
        <f>+'Balance Sheet '!L$80</f>
        <v>-2058.0258458927651</v>
      </c>
      <c r="R35" s="25">
        <f>+'Balance Sheet '!M$80</f>
        <v>-1820.2143333157162</v>
      </c>
      <c r="S35" s="27"/>
      <c r="T35" s="27"/>
      <c r="U35" s="27"/>
      <c r="V35" s="27"/>
      <c r="W35" s="27"/>
      <c r="X35" s="27"/>
      <c r="Y35" s="27"/>
      <c r="Z35" s="2"/>
      <c r="AA35" s="2"/>
      <c r="AB35" s="2"/>
      <c r="AC35" s="2"/>
    </row>
    <row r="36" spans="1:29" ht="16.2" x14ac:dyDescent="0.45">
      <c r="A36" s="2"/>
      <c r="B36" s="153" t="s">
        <v>184</v>
      </c>
      <c r="C36" s="189"/>
      <c r="D36" s="189"/>
      <c r="E36" s="189"/>
      <c r="F36" s="189"/>
      <c r="G36" s="154">
        <f>+SUM(G34:G35)</f>
        <v>8204</v>
      </c>
      <c r="H36" s="154">
        <f>+SUM(H34:H35)</f>
        <v>8752</v>
      </c>
      <c r="I36" s="154">
        <f>+SUM(I34:I35)</f>
        <v>13050</v>
      </c>
      <c r="J36" s="154">
        <f>+SUM(J34:J35)</f>
        <v>13373</v>
      </c>
      <c r="K36" s="154">
        <f>+SUM(K34:K35)</f>
        <v>11541</v>
      </c>
      <c r="L36" s="154">
        <f t="shared" ref="L36:P36" ca="1" si="18">+SUM(L34:L35)</f>
        <v>9179.2072649999973</v>
      </c>
      <c r="M36" s="154">
        <f t="shared" ca="1" si="18"/>
        <v>10044.655095339545</v>
      </c>
      <c r="N36" s="154">
        <f t="shared" ca="1" si="18"/>
        <v>13131.570418671856</v>
      </c>
      <c r="O36" s="154">
        <f t="shared" ca="1" si="18"/>
        <v>14100.586885992083</v>
      </c>
      <c r="P36" s="154">
        <f t="shared" ca="1" si="18"/>
        <v>15121.06806194278</v>
      </c>
      <c r="Q36" s="154">
        <f t="shared" ref="Q36:R36" ca="1" si="19">+SUM(Q34:Q35)</f>
        <v>16195.811183154854</v>
      </c>
      <c r="R36" s="154">
        <f t="shared" ca="1" si="19"/>
        <v>17327.769744782447</v>
      </c>
      <c r="S36" s="27"/>
      <c r="T36" s="27"/>
      <c r="U36" s="27"/>
      <c r="V36" s="27"/>
      <c r="W36" s="27"/>
      <c r="X36" s="27"/>
      <c r="Y36" s="27"/>
      <c r="Z36" s="2"/>
      <c r="AA36" s="2"/>
      <c r="AB36" s="2"/>
      <c r="AC36" s="2"/>
    </row>
    <row r="37" spans="1:29" ht="16.2" x14ac:dyDescent="0.45">
      <c r="A37" s="2"/>
      <c r="B37" s="27" t="s">
        <v>5</v>
      </c>
      <c r="C37" s="27"/>
      <c r="D37" s="27"/>
      <c r="E37" s="27"/>
      <c r="F37" s="27"/>
      <c r="G37" s="94">
        <f>+'Input Data'!E27*-1</f>
        <v>-1742</v>
      </c>
      <c r="H37" s="94">
        <f>+'Input Data'!F27*-1</f>
        <v>-2067</v>
      </c>
      <c r="I37" s="94">
        <f>+'Input Data'!G27*-1</f>
        <v>-2781</v>
      </c>
      <c r="J37" s="94">
        <f>+'Input Data'!H27*-1</f>
        <v>-2629</v>
      </c>
      <c r="K37" s="94">
        <f>+'Input Data'!I27*-1</f>
        <v>-2768</v>
      </c>
      <c r="L37" s="97">
        <f ca="1">L36*L$17*-1</f>
        <v>-1927.6335256499995</v>
      </c>
      <c r="M37" s="97">
        <f t="shared" ref="M37:P37" ca="1" si="20">M36*M$17*-1</f>
        <v>-2109.3775700213046</v>
      </c>
      <c r="N37" s="97">
        <f t="shared" ca="1" si="20"/>
        <v>-2757.6297879210897</v>
      </c>
      <c r="O37" s="97">
        <f t="shared" ca="1" si="20"/>
        <v>-2961.1232460583374</v>
      </c>
      <c r="P37" s="97">
        <f t="shared" ca="1" si="20"/>
        <v>-3175.4242930079836</v>
      </c>
      <c r="Q37" s="97">
        <f t="shared" ref="Q37:R37" ca="1" si="21">Q36*Q$17*-1</f>
        <v>-3401.1203484625194</v>
      </c>
      <c r="R37" s="97">
        <f t="shared" ca="1" si="21"/>
        <v>-3638.8316464043137</v>
      </c>
      <c r="S37" s="27"/>
      <c r="T37" s="27"/>
      <c r="U37" s="27"/>
      <c r="V37" s="27"/>
      <c r="W37" s="27"/>
      <c r="X37" s="27"/>
      <c r="Y37" s="27"/>
      <c r="Z37" s="2"/>
      <c r="AA37" s="2"/>
      <c r="AB37" s="2"/>
      <c r="AC37" s="2"/>
    </row>
    <row r="38" spans="1:29" ht="16.8" thickBot="1" x14ac:dyDescent="0.5">
      <c r="A38" s="2"/>
      <c r="B38" s="98" t="s">
        <v>183</v>
      </c>
      <c r="C38" s="99"/>
      <c r="D38" s="99"/>
      <c r="E38" s="99"/>
      <c r="F38" s="99"/>
      <c r="G38" s="100">
        <f>+SUM(G36,G37)</f>
        <v>6462</v>
      </c>
      <c r="H38" s="100">
        <f t="shared" ref="H38:P38" si="22">+SUM(H36,H37)</f>
        <v>6685</v>
      </c>
      <c r="I38" s="100">
        <f t="shared" si="22"/>
        <v>10269</v>
      </c>
      <c r="J38" s="100">
        <f t="shared" si="22"/>
        <v>10744</v>
      </c>
      <c r="K38" s="100">
        <f t="shared" si="22"/>
        <v>8773</v>
      </c>
      <c r="L38" s="100">
        <f t="shared" ca="1" si="22"/>
        <v>7251.5737393499976</v>
      </c>
      <c r="M38" s="100">
        <f t="shared" ca="1" si="22"/>
        <v>7935.2775253182408</v>
      </c>
      <c r="N38" s="100">
        <f t="shared" ca="1" si="22"/>
        <v>10373.940630750767</v>
      </c>
      <c r="O38" s="100">
        <f t="shared" ca="1" si="22"/>
        <v>11139.463639933745</v>
      </c>
      <c r="P38" s="100">
        <f t="shared" ca="1" si="22"/>
        <v>11945.643768934797</v>
      </c>
      <c r="Q38" s="100">
        <f t="shared" ref="Q38:R38" ca="1" si="23">+SUM(Q36,Q37)</f>
        <v>12794.690834692334</v>
      </c>
      <c r="R38" s="100">
        <f t="shared" ca="1" si="23"/>
        <v>13688.938098378134</v>
      </c>
      <c r="S38" s="27"/>
      <c r="T38" s="27"/>
      <c r="U38" s="27"/>
      <c r="V38" s="27"/>
      <c r="W38" s="27"/>
      <c r="X38" s="27"/>
      <c r="Y38" s="27"/>
      <c r="Z38" s="2"/>
      <c r="AA38" s="2"/>
      <c r="AB38" s="2"/>
      <c r="AC38" s="2"/>
    </row>
    <row r="39" spans="1:29" ht="16.2" x14ac:dyDescent="0.45">
      <c r="A39" s="2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"/>
      <c r="AA39" s="2"/>
      <c r="AB39" s="2"/>
      <c r="AC39" s="2"/>
    </row>
    <row r="40" spans="1:29" ht="16.2" x14ac:dyDescent="0.45">
      <c r="A40" s="2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"/>
      <c r="AA40" s="2"/>
      <c r="AB40" s="2"/>
      <c r="AC40" s="2"/>
    </row>
    <row r="41" spans="1:29" ht="16.2" x14ac:dyDescent="0.45">
      <c r="A41" s="2"/>
      <c r="B41" s="29" t="s">
        <v>76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"/>
      <c r="AA41" s="2"/>
      <c r="AB41" s="2"/>
      <c r="AC41" s="2"/>
    </row>
    <row r="42" spans="1:29" ht="16.2" x14ac:dyDescent="0.45">
      <c r="A42" s="2"/>
      <c r="B42" s="27" t="s">
        <v>4</v>
      </c>
      <c r="C42" s="27"/>
      <c r="D42" s="27"/>
      <c r="E42" s="27"/>
      <c r="F42" s="27"/>
      <c r="G42" s="75">
        <f>+G$34</f>
        <v>8692</v>
      </c>
      <c r="H42" s="75">
        <f t="shared" ref="H42:K42" si="24">+H$34</f>
        <v>9195</v>
      </c>
      <c r="I42" s="75">
        <f t="shared" si="24"/>
        <v>13561</v>
      </c>
      <c r="J42" s="75">
        <f t="shared" si="24"/>
        <v>13885</v>
      </c>
      <c r="K42" s="75">
        <f t="shared" si="24"/>
        <v>12043</v>
      </c>
      <c r="L42" s="75">
        <f ca="1">+L34</f>
        <v>12212.307264999998</v>
      </c>
      <c r="M42" s="75">
        <f ca="1">+M34</f>
        <v>12908.198773550004</v>
      </c>
      <c r="N42" s="75">
        <f ca="1">+N34</f>
        <v>15813.688832567503</v>
      </c>
      <c r="O42" s="75">
        <f ca="1">+O34</f>
        <v>16588.580267070884</v>
      </c>
      <c r="P42" s="75">
        <f ca="1">+P34</f>
        <v>17401.347657907554</v>
      </c>
      <c r="Q42" s="75">
        <f t="shared" ref="Q42:R42" ca="1" si="25">+Q34</f>
        <v>18253.83702904762</v>
      </c>
      <c r="R42" s="75">
        <f t="shared" ca="1" si="25"/>
        <v>19147.984078098161</v>
      </c>
      <c r="S42" s="27"/>
      <c r="T42" s="27"/>
      <c r="U42" s="27"/>
      <c r="V42" s="27"/>
      <c r="W42" s="27"/>
      <c r="X42" s="27"/>
      <c r="Y42" s="27"/>
      <c r="Z42" s="2"/>
      <c r="AA42" s="2"/>
      <c r="AB42" s="2"/>
      <c r="AC42" s="2"/>
    </row>
    <row r="43" spans="1:29" ht="16.2" x14ac:dyDescent="0.45">
      <c r="A43" s="2"/>
      <c r="B43" s="27" t="s">
        <v>77</v>
      </c>
      <c r="C43" s="27"/>
      <c r="D43" s="27"/>
      <c r="E43" s="27"/>
      <c r="F43" s="27"/>
      <c r="G43" s="25">
        <f>+G$32*-1</f>
        <v>2352</v>
      </c>
      <c r="H43" s="25">
        <f t="shared" ref="H43:K43" si="26">+H$32*-1</f>
        <v>2219</v>
      </c>
      <c r="I43" s="25">
        <f t="shared" si="26"/>
        <v>2144</v>
      </c>
      <c r="J43" s="25">
        <f t="shared" si="26"/>
        <v>2153</v>
      </c>
      <c r="K43" s="25">
        <f t="shared" si="26"/>
        <v>2262</v>
      </c>
      <c r="L43" s="25">
        <f t="shared" ref="L43:R43" ca="1" si="27">+L$32*-1</f>
        <v>2649.5</v>
      </c>
      <c r="M43" s="25">
        <f t="shared" ca="1" si="27"/>
        <v>2993.9349999999999</v>
      </c>
      <c r="N43" s="25">
        <f t="shared" ca="1" si="27"/>
        <v>3158.6014250000003</v>
      </c>
      <c r="O43" s="25">
        <f t="shared" ca="1" si="27"/>
        <v>3332.3245033749999</v>
      </c>
      <c r="P43" s="25">
        <f t="shared" ca="1" si="27"/>
        <v>3515.6023510606251</v>
      </c>
      <c r="Q43" s="25">
        <f t="shared" ca="1" si="27"/>
        <v>3708.9604803689595</v>
      </c>
      <c r="R43" s="25">
        <f t="shared" ca="1" si="27"/>
        <v>3912.953306789253</v>
      </c>
      <c r="S43" s="27"/>
      <c r="T43" s="27"/>
      <c r="U43" s="27"/>
      <c r="V43" s="27"/>
      <c r="W43" s="27"/>
      <c r="X43" s="27"/>
      <c r="Y43" s="27"/>
      <c r="Z43" s="2"/>
      <c r="AA43" s="2"/>
      <c r="AB43" s="2"/>
      <c r="AC43" s="2"/>
    </row>
    <row r="44" spans="1:29" ht="16.2" x14ac:dyDescent="0.45">
      <c r="A44" s="2"/>
      <c r="B44" s="27" t="s">
        <v>78</v>
      </c>
      <c r="C44" s="27"/>
      <c r="D44" s="27"/>
      <c r="E44" s="27"/>
      <c r="F44" s="27"/>
      <c r="G44" s="25">
        <f>+G33*-1</f>
        <v>-1814</v>
      </c>
      <c r="H44" s="25">
        <f>+H33*-1</f>
        <v>-1291</v>
      </c>
      <c r="I44" s="25">
        <f>+I33*-1</f>
        <v>-595</v>
      </c>
      <c r="J44" s="25">
        <f>+J33*-1</f>
        <v>-813</v>
      </c>
      <c r="K44" s="25">
        <f>+K33*-1</f>
        <v>-892</v>
      </c>
      <c r="L44" s="75"/>
      <c r="M44" s="75"/>
      <c r="N44" s="75"/>
      <c r="O44" s="75"/>
      <c r="P44" s="75"/>
      <c r="Q44" s="75"/>
      <c r="R44" s="75"/>
      <c r="S44" s="27"/>
      <c r="T44" s="27"/>
      <c r="U44" s="27"/>
      <c r="V44" s="27"/>
      <c r="W44" s="27"/>
      <c r="X44" s="27"/>
      <c r="Y44" s="27"/>
      <c r="Z44" s="2"/>
      <c r="AA44" s="2"/>
      <c r="AB44" s="2"/>
      <c r="AC44" s="2"/>
    </row>
    <row r="45" spans="1:29" ht="16.2" x14ac:dyDescent="0.45">
      <c r="A45" s="2"/>
      <c r="B45" s="101" t="s">
        <v>79</v>
      </c>
      <c r="C45" s="102"/>
      <c r="D45" s="102"/>
      <c r="E45" s="102"/>
      <c r="F45" s="102"/>
      <c r="G45" s="103">
        <f>+SUM(G42:G44)</f>
        <v>9230</v>
      </c>
      <c r="H45" s="103">
        <f t="shared" ref="H45:P45" si="28">+SUM(H42:H44)</f>
        <v>10123</v>
      </c>
      <c r="I45" s="103">
        <f t="shared" si="28"/>
        <v>15110</v>
      </c>
      <c r="J45" s="103">
        <f t="shared" si="28"/>
        <v>15225</v>
      </c>
      <c r="K45" s="103">
        <f t="shared" si="28"/>
        <v>13413</v>
      </c>
      <c r="L45" s="103">
        <f t="shared" ca="1" si="28"/>
        <v>14861.807264999998</v>
      </c>
      <c r="M45" s="103">
        <f t="shared" ca="1" si="28"/>
        <v>15902.133773550004</v>
      </c>
      <c r="N45" s="103">
        <f t="shared" ca="1" si="28"/>
        <v>18972.290257567503</v>
      </c>
      <c r="O45" s="103">
        <f t="shared" ca="1" si="28"/>
        <v>19920.904770445883</v>
      </c>
      <c r="P45" s="103">
        <f t="shared" ca="1" si="28"/>
        <v>20916.950008968179</v>
      </c>
      <c r="Q45" s="103">
        <f t="shared" ref="Q45:R45" ca="1" si="29">+SUM(Q42:Q44)</f>
        <v>21962.797509416578</v>
      </c>
      <c r="R45" s="103">
        <f t="shared" ca="1" si="29"/>
        <v>23060.937384887413</v>
      </c>
      <c r="S45" s="27"/>
      <c r="T45" s="27"/>
      <c r="U45" s="27"/>
      <c r="V45" s="27"/>
      <c r="W45" s="27"/>
      <c r="X45" s="27"/>
      <c r="Y45" s="27"/>
      <c r="Z45" s="2"/>
      <c r="AA45" s="2"/>
      <c r="AB45" s="2"/>
      <c r="AC45" s="2"/>
    </row>
    <row r="46" spans="1:29" ht="16.2" x14ac:dyDescent="0.45">
      <c r="A46" s="2"/>
      <c r="B46" s="68" t="s">
        <v>185</v>
      </c>
      <c r="C46" s="27"/>
      <c r="D46" s="27"/>
      <c r="E46" s="27"/>
      <c r="F46" s="27"/>
      <c r="G46" s="90">
        <f t="shared" ref="G46:R46" si="30">+G$45/G$24</f>
        <v>0.18108336112691531</v>
      </c>
      <c r="H46" s="90">
        <f t="shared" si="30"/>
        <v>0.17034344658152017</v>
      </c>
      <c r="I46" s="90">
        <f t="shared" si="30"/>
        <v>0.22532060841037876</v>
      </c>
      <c r="J46" s="90">
        <f t="shared" si="30"/>
        <v>0.23492107577651253</v>
      </c>
      <c r="K46" s="90">
        <f t="shared" si="30"/>
        <v>0.1984494518338783</v>
      </c>
      <c r="L46" s="90">
        <f t="shared" ca="1" si="30"/>
        <v>0.20549999999999993</v>
      </c>
      <c r="M46" s="90">
        <f t="shared" ca="1" si="30"/>
        <v>0.20550000000000002</v>
      </c>
      <c r="N46" s="90">
        <f t="shared" ca="1" si="30"/>
        <v>0.23349999999999999</v>
      </c>
      <c r="O46" s="90">
        <f t="shared" ca="1" si="30"/>
        <v>0.23350000000000001</v>
      </c>
      <c r="P46" s="90">
        <f t="shared" ca="1" si="30"/>
        <v>0.23350000000000001</v>
      </c>
      <c r="Q46" s="90">
        <f t="shared" ca="1" si="30"/>
        <v>0.23349999999999993</v>
      </c>
      <c r="R46" s="90">
        <f t="shared" ca="1" si="30"/>
        <v>0.23349999999999999</v>
      </c>
      <c r="S46" s="27"/>
      <c r="T46" s="27"/>
      <c r="U46" s="27"/>
      <c r="V46" s="27"/>
      <c r="W46" s="27"/>
      <c r="X46" s="27"/>
      <c r="Y46" s="27"/>
      <c r="Z46" s="2"/>
      <c r="AA46" s="2"/>
      <c r="AB46" s="2"/>
      <c r="AC46" s="2"/>
    </row>
    <row r="47" spans="1:29" ht="16.2" x14ac:dyDescent="0.45">
      <c r="A47" s="2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"/>
      <c r="AA47" s="2"/>
      <c r="AB47" s="2"/>
      <c r="AC47" s="2"/>
    </row>
    <row r="48" spans="1:29" ht="16.2" x14ac:dyDescent="0.45">
      <c r="A48" s="2"/>
      <c r="B48" s="29" t="s">
        <v>181</v>
      </c>
      <c r="C48" s="27"/>
      <c r="D48" s="27"/>
      <c r="E48" s="27"/>
      <c r="F48" s="27"/>
      <c r="G48" s="27"/>
      <c r="H48" s="27"/>
      <c r="I48" s="75"/>
      <c r="J48" s="75"/>
      <c r="K48" s="75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"/>
      <c r="AA48" s="2"/>
      <c r="AB48" s="2"/>
      <c r="AC48" s="2"/>
    </row>
    <row r="49" spans="1:29" ht="16.2" x14ac:dyDescent="0.45">
      <c r="A49" s="2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"/>
      <c r="AA49" s="2"/>
      <c r="AB49" s="2"/>
      <c r="AC49" s="2"/>
    </row>
    <row r="50" spans="1:29" ht="16.2" x14ac:dyDescent="0.45">
      <c r="A50" s="2"/>
      <c r="B50" s="162" t="s">
        <v>133</v>
      </c>
      <c r="C50" s="162"/>
      <c r="D50" s="162"/>
      <c r="E50" s="162"/>
      <c r="F50" s="162"/>
      <c r="G50" s="163">
        <f>+G25/G24*-1</f>
        <v>0.69672951286025386</v>
      </c>
      <c r="H50" s="163">
        <f>+H25/H24*-1</f>
        <v>0.69581166809699291</v>
      </c>
      <c r="I50" s="163">
        <f>+I25/I24*-1</f>
        <v>0.63774232031016997</v>
      </c>
      <c r="J50" s="163">
        <f>+J25/J24*-1</f>
        <v>0.62026878982857314</v>
      </c>
      <c r="K50" s="163">
        <f>+K25/K24*-1</f>
        <v>0.66211957567059732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"/>
      <c r="AA50" s="2"/>
      <c r="AB50" s="2"/>
      <c r="AC50" s="2"/>
    </row>
    <row r="51" spans="1:29" ht="16.2" x14ac:dyDescent="0.45">
      <c r="A51" s="2"/>
      <c r="B51" s="162" t="s">
        <v>135</v>
      </c>
      <c r="C51" s="162"/>
      <c r="D51" s="162"/>
      <c r="E51" s="162"/>
      <c r="F51" s="162"/>
      <c r="G51" s="163">
        <f>+G26/G24</f>
        <v>0.30327048713974614</v>
      </c>
      <c r="H51" s="163">
        <f>+H26/H24</f>
        <v>0.30418833190300704</v>
      </c>
      <c r="I51" s="163">
        <f>+I26/I24</f>
        <v>0.36225767968983003</v>
      </c>
      <c r="J51" s="163">
        <f>+J26/J24</f>
        <v>0.3797312101714268</v>
      </c>
      <c r="K51" s="163">
        <f>+K26/K24</f>
        <v>0.33788042432940274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"/>
      <c r="AA51" s="2"/>
      <c r="AB51" s="2"/>
      <c r="AC51" s="2"/>
    </row>
    <row r="52" spans="1:29" ht="16.2" x14ac:dyDescent="0.45">
      <c r="A52" s="2"/>
      <c r="B52" s="162" t="s">
        <v>335</v>
      </c>
      <c r="C52" s="162"/>
      <c r="D52" s="162"/>
      <c r="E52" s="162"/>
      <c r="F52" s="162"/>
      <c r="G52" s="163">
        <f>+G29/G24*-1</f>
        <v>5.9112044103509842E-2</v>
      </c>
      <c r="H52" s="163">
        <f>+H29/H24*-1</f>
        <v>5.7751527083648849E-2</v>
      </c>
      <c r="I52" s="163">
        <f>+I29/I24*-1</f>
        <v>6.3033104682373997E-2</v>
      </c>
      <c r="J52" s="163">
        <f>+J29/J24*-1</f>
        <v>6.9650820102146307E-2</v>
      </c>
      <c r="K52" s="163">
        <f>+K29/K24*-1</f>
        <v>6.987823462397727E-2</v>
      </c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"/>
      <c r="AA52" s="2"/>
      <c r="AB52" s="2"/>
      <c r="AC52" s="2"/>
    </row>
    <row r="53" spans="1:29" ht="16.2" x14ac:dyDescent="0.45">
      <c r="A53" s="2"/>
      <c r="B53" s="162" t="s">
        <v>242</v>
      </c>
      <c r="C53" s="162"/>
      <c r="D53" s="162"/>
      <c r="E53" s="162"/>
      <c r="F53" s="162"/>
      <c r="G53" s="163">
        <f>+G30/G24*-1</f>
        <v>3.3077632379196011E-2</v>
      </c>
      <c r="H53" s="163">
        <f>+H30/H24*-1</f>
        <v>3.0524845608898312E-2</v>
      </c>
      <c r="I53" s="163">
        <f>+I30/I24*-1</f>
        <v>3.143453623620638E-2</v>
      </c>
      <c r="J53" s="163">
        <f>+J30/J24*-1</f>
        <v>3.2510916693669088E-2</v>
      </c>
      <c r="K53" s="163">
        <f>+K30/K24*-1</f>
        <v>3.178031928272352E-2</v>
      </c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"/>
      <c r="AA53" s="2"/>
      <c r="AB53" s="2"/>
      <c r="AC53" s="2"/>
    </row>
    <row r="54" spans="1:29" ht="16.2" x14ac:dyDescent="0.45">
      <c r="A54" s="2"/>
      <c r="B54" s="162" t="s">
        <v>338</v>
      </c>
      <c r="C54" s="162"/>
      <c r="D54" s="162"/>
      <c r="E54" s="162"/>
      <c r="F54" s="162"/>
      <c r="G54" s="163">
        <f>+G31/G24*-1</f>
        <v>2.9997449530124974E-2</v>
      </c>
      <c r="H54" s="163">
        <f>+H31/H24*-1</f>
        <v>4.5568512628939704E-2</v>
      </c>
      <c r="I54" s="163">
        <f>+I31/I24*-1</f>
        <v>4.2469430360870863E-2</v>
      </c>
      <c r="J54" s="163">
        <f>+J31/J24*-1</f>
        <v>4.2648397599098893E-2</v>
      </c>
      <c r="K54" s="163">
        <f>+K31/K24*-1</f>
        <v>3.7772418588823624E-2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"/>
      <c r="AA54" s="2"/>
      <c r="AB54" s="2"/>
      <c r="AC54" s="2"/>
    </row>
    <row r="55" spans="1:29" ht="16.2" x14ac:dyDescent="0.45">
      <c r="A55" s="2"/>
      <c r="B55" s="162" t="s">
        <v>182</v>
      </c>
      <c r="C55" s="162"/>
      <c r="D55" s="162"/>
      <c r="E55" s="162"/>
      <c r="F55" s="162"/>
      <c r="G55" s="163">
        <f>+G32/G24*-1</f>
        <v>4.6143885738949598E-2</v>
      </c>
      <c r="H55" s="163">
        <f>+H32/H24*-1</f>
        <v>3.7339929661601629E-2</v>
      </c>
      <c r="I55" s="163">
        <f>+I32/I24*-1</f>
        <v>3.1971368923352221E-2</v>
      </c>
      <c r="J55" s="163">
        <f>+J32/J24*-1</f>
        <v>3.3220694656606334E-2</v>
      </c>
      <c r="K55" s="163">
        <f>+K32/K24*-1</f>
        <v>3.3466984272588735E-2</v>
      </c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"/>
      <c r="AA55" s="2"/>
      <c r="AB55" s="2"/>
      <c r="AC55" s="2"/>
    </row>
    <row r="56" spans="1:29" ht="16.2" x14ac:dyDescent="0.45">
      <c r="A56" s="2"/>
      <c r="B56" s="162" t="s">
        <v>183</v>
      </c>
      <c r="C56" s="162"/>
      <c r="D56" s="162"/>
      <c r="E56" s="162"/>
      <c r="F56" s="162"/>
      <c r="G56" s="163">
        <f>+G38/G24</f>
        <v>0.12677797178787939</v>
      </c>
      <c r="H56" s="163">
        <f>+H38/H24</f>
        <v>0.11249095528968314</v>
      </c>
      <c r="I56" s="163">
        <f>+I38/I24</f>
        <v>0.15313152400835073</v>
      </c>
      <c r="J56" s="163">
        <f>+J38/J24</f>
        <v>0.16577944421299512</v>
      </c>
      <c r="K56" s="163">
        <f>+K38/K24</f>
        <v>0.12979922768497831</v>
      </c>
      <c r="L56" s="27"/>
      <c r="M56" s="27"/>
      <c r="N56" s="27"/>
      <c r="O56" s="27"/>
      <c r="P56" s="27"/>
      <c r="Q56" s="27"/>
      <c r="R56" s="27"/>
      <c r="S56" s="27"/>
      <c r="T56" s="19"/>
      <c r="U56" s="2"/>
      <c r="V56" s="2"/>
      <c r="W56" s="2"/>
      <c r="X56" s="2"/>
      <c r="Y56" s="2"/>
      <c r="Z56" s="2"/>
      <c r="AA56" s="2"/>
      <c r="AB56" s="2"/>
      <c r="AC56" s="2"/>
    </row>
    <row r="57" spans="1:29" ht="16.2" x14ac:dyDescent="0.45">
      <c r="A57" s="2"/>
      <c r="B57" s="162" t="s">
        <v>186</v>
      </c>
      <c r="C57" s="162"/>
      <c r="D57" s="162"/>
      <c r="E57" s="162"/>
      <c r="F57" s="162"/>
      <c r="G57" s="163">
        <f>+G45/G24</f>
        <v>0.18108336112691531</v>
      </c>
      <c r="H57" s="163">
        <f>+H45/H24</f>
        <v>0.17034344658152017</v>
      </c>
      <c r="I57" s="163">
        <f>+I45/I24</f>
        <v>0.22532060841037876</v>
      </c>
      <c r="J57" s="163">
        <f>+J45/J24</f>
        <v>0.23492107577651253</v>
      </c>
      <c r="K57" s="163">
        <f>+K45/K24</f>
        <v>0.1984494518338783</v>
      </c>
      <c r="L57" s="27"/>
      <c r="M57" s="27"/>
      <c r="N57" s="27"/>
      <c r="O57" s="27"/>
      <c r="P57" s="27"/>
      <c r="Q57" s="27"/>
      <c r="R57" s="27"/>
      <c r="S57" s="27"/>
      <c r="T57" s="19"/>
      <c r="U57" s="2"/>
      <c r="V57" s="2"/>
      <c r="W57" s="2"/>
      <c r="X57" s="2"/>
      <c r="Y57" s="2"/>
      <c r="Z57" s="2"/>
      <c r="AA57" s="2"/>
      <c r="AB57" s="2"/>
      <c r="AC57" s="2"/>
    </row>
    <row r="58" spans="1:29" ht="16.2" x14ac:dyDescent="0.45">
      <c r="A58" s="2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19"/>
      <c r="U58" s="2"/>
      <c r="V58" s="2"/>
      <c r="W58" s="2"/>
      <c r="X58" s="2"/>
      <c r="Y58" s="2"/>
      <c r="Z58" s="2"/>
      <c r="AA58" s="2"/>
      <c r="AB58" s="2"/>
      <c r="AC58" s="2"/>
    </row>
    <row r="59" spans="1:29" ht="16.2" x14ac:dyDescent="0.45">
      <c r="A59" s="2"/>
      <c r="B59" s="29" t="s">
        <v>189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19"/>
      <c r="U59" s="2"/>
      <c r="V59" s="2"/>
      <c r="W59" s="2"/>
      <c r="X59" s="2"/>
      <c r="Y59" s="2"/>
      <c r="Z59" s="2"/>
      <c r="AA59" s="2"/>
      <c r="AB59" s="2"/>
      <c r="AC59" s="2"/>
    </row>
    <row r="60" spans="1:29" ht="16.2" x14ac:dyDescent="0.45">
      <c r="A60" s="2"/>
      <c r="B60" s="162" t="s">
        <v>123</v>
      </c>
      <c r="C60" s="162"/>
      <c r="D60" s="162"/>
      <c r="E60" s="162"/>
      <c r="F60" s="162"/>
      <c r="G60" s="162"/>
      <c r="H60" s="163">
        <f>+(H24-G24)/G24</f>
        <v>0.16589825587098547</v>
      </c>
      <c r="I60" s="163">
        <f>+(I24-H24)/H24</f>
        <v>0.12844330018341832</v>
      </c>
      <c r="J60" s="163">
        <f>+(J24-I24)/I24</f>
        <v>-3.3566954965702354E-2</v>
      </c>
      <c r="K60" s="163">
        <f>+(K24-J24)/J24</f>
        <v>4.2895276890555327E-2</v>
      </c>
      <c r="L60" s="27"/>
      <c r="M60" s="27"/>
      <c r="N60" s="27"/>
      <c r="O60" s="27"/>
      <c r="P60" s="27"/>
      <c r="Q60" s="27"/>
      <c r="R60" s="27"/>
      <c r="S60" s="27"/>
      <c r="T60" s="19"/>
      <c r="U60" s="2"/>
      <c r="V60" s="2"/>
      <c r="W60" s="2"/>
      <c r="X60" s="2"/>
      <c r="Y60" s="2"/>
      <c r="Z60" s="2"/>
      <c r="AA60" s="2"/>
      <c r="AB60" s="2"/>
      <c r="AC60" s="2"/>
    </row>
    <row r="61" spans="1:29" ht="16.2" x14ac:dyDescent="0.45">
      <c r="A61" s="2"/>
      <c r="B61" s="162" t="s">
        <v>233</v>
      </c>
      <c r="C61" s="162"/>
      <c r="D61" s="162"/>
      <c r="E61" s="162"/>
      <c r="F61" s="162"/>
      <c r="G61" s="162"/>
      <c r="H61" s="163">
        <f>+(H38-G38)/G38</f>
        <v>3.4509439801918909E-2</v>
      </c>
      <c r="I61" s="163">
        <f t="shared" ref="I61:K61" si="31">+(I38-H38)/H38</f>
        <v>0.53612565445026183</v>
      </c>
      <c r="J61" s="163">
        <f t="shared" si="31"/>
        <v>4.6255721102346867E-2</v>
      </c>
      <c r="K61" s="163">
        <f t="shared" si="31"/>
        <v>-0.18345122859270291</v>
      </c>
      <c r="L61" s="27"/>
      <c r="M61" s="27"/>
      <c r="N61" s="27"/>
      <c r="O61" s="27"/>
      <c r="P61" s="27"/>
      <c r="Q61" s="27"/>
      <c r="R61" s="27"/>
      <c r="S61" s="27"/>
      <c r="T61" s="19"/>
      <c r="U61" s="2"/>
      <c r="V61" s="2"/>
      <c r="W61" s="2"/>
      <c r="X61" s="2"/>
      <c r="Y61" s="2"/>
      <c r="Z61" s="2"/>
      <c r="AA61" s="2"/>
      <c r="AB61" s="2"/>
      <c r="AC61" s="2"/>
    </row>
    <row r="62" spans="1:29" ht="16.2" x14ac:dyDescent="0.45">
      <c r="A62" s="2"/>
      <c r="B62" s="162" t="s">
        <v>232</v>
      </c>
      <c r="C62" s="162"/>
      <c r="D62" s="162"/>
      <c r="E62" s="162"/>
      <c r="F62" s="162"/>
      <c r="G62" s="162"/>
      <c r="H62" s="162"/>
      <c r="I62" s="162"/>
      <c r="J62" s="162"/>
      <c r="K62" s="163">
        <f>+(K24/G24)^(1/5)-1</f>
        <v>5.8060675329344225E-2</v>
      </c>
      <c r="L62" s="27"/>
      <c r="M62" s="27"/>
      <c r="N62" s="27"/>
      <c r="O62" s="27"/>
      <c r="P62" s="27"/>
      <c r="Q62" s="27"/>
      <c r="R62" s="27"/>
      <c r="S62" s="27"/>
      <c r="T62" s="19"/>
      <c r="U62" s="2"/>
      <c r="V62" s="2"/>
      <c r="W62" s="2"/>
      <c r="X62" s="2"/>
      <c r="Y62" s="2"/>
      <c r="Z62" s="2"/>
      <c r="AA62" s="2"/>
      <c r="AB62" s="2"/>
      <c r="AC62" s="2"/>
    </row>
    <row r="63" spans="1:29" ht="16.2" x14ac:dyDescent="0.45">
      <c r="A63" s="2"/>
      <c r="B63" s="162" t="s">
        <v>234</v>
      </c>
      <c r="C63" s="162"/>
      <c r="D63" s="162"/>
      <c r="E63" s="162"/>
      <c r="F63" s="162"/>
      <c r="G63" s="162"/>
      <c r="H63" s="162"/>
      <c r="I63" s="162"/>
      <c r="J63" s="162"/>
      <c r="K63" s="163">
        <f>+(K38/G38)^(1/5)-1</f>
        <v>6.3056225458602233E-2</v>
      </c>
      <c r="L63" s="27"/>
      <c r="M63" s="27"/>
      <c r="N63" s="27"/>
      <c r="O63" s="27"/>
      <c r="P63" s="27"/>
      <c r="Q63" s="27"/>
      <c r="R63" s="27"/>
      <c r="S63" s="27"/>
      <c r="T63" s="19"/>
      <c r="U63" s="2"/>
      <c r="V63" s="2"/>
      <c r="W63" s="2"/>
      <c r="X63" s="2"/>
      <c r="Y63" s="2"/>
      <c r="Z63" s="2"/>
      <c r="AA63" s="2"/>
      <c r="AB63" s="2"/>
      <c r="AC63" s="2"/>
    </row>
    <row r="64" spans="1:29" ht="16.2" x14ac:dyDescent="0.45">
      <c r="A64" s="2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2"/>
      <c r="V64" s="2"/>
      <c r="W64" s="2"/>
      <c r="X64" s="2"/>
      <c r="Y64" s="2"/>
      <c r="Z64" s="2"/>
      <c r="AA64" s="2"/>
      <c r="AB64" s="2"/>
      <c r="AC64" s="2"/>
    </row>
    <row r="65" spans="1:29" ht="16.2" x14ac:dyDescent="0.45">
      <c r="A65" s="2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2"/>
      <c r="V65" s="2"/>
      <c r="W65" s="2"/>
      <c r="X65" s="2"/>
      <c r="Y65" s="2"/>
      <c r="Z65" s="2"/>
      <c r="AA65" s="2"/>
      <c r="AB65" s="2"/>
      <c r="AC65" s="2"/>
    </row>
    <row r="66" spans="1:29" ht="16.2" x14ac:dyDescent="0.45">
      <c r="A66" s="2"/>
      <c r="B66" s="19"/>
      <c r="C66" s="19"/>
      <c r="D66" s="19"/>
      <c r="E66" s="19"/>
      <c r="F66" s="19"/>
      <c r="G66" s="19"/>
      <c r="H66" s="19"/>
      <c r="I66" s="176"/>
      <c r="J66" s="176"/>
      <c r="K66" s="176"/>
      <c r="L66" s="19"/>
      <c r="M66" s="19"/>
      <c r="N66" s="19"/>
      <c r="O66" s="19"/>
      <c r="P66" s="19"/>
      <c r="Q66" s="19"/>
      <c r="R66" s="19"/>
      <c r="S66" s="19"/>
      <c r="T66" s="19"/>
      <c r="U66" s="2"/>
      <c r="V66" s="2"/>
      <c r="W66" s="2"/>
      <c r="X66" s="2"/>
      <c r="Y66" s="2"/>
      <c r="Z66" s="2"/>
      <c r="AA66" s="2"/>
      <c r="AB66" s="2"/>
      <c r="AC66" s="2"/>
    </row>
    <row r="67" spans="1:29" ht="16.2" x14ac:dyDescent="0.45">
      <c r="A67" s="2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2"/>
      <c r="V67" s="2"/>
      <c r="W67" s="2"/>
      <c r="X67" s="2"/>
      <c r="Y67" s="2"/>
      <c r="Z67" s="2"/>
      <c r="AA67" s="2"/>
      <c r="AB67" s="2"/>
      <c r="AC67" s="2"/>
    </row>
    <row r="68" spans="1:29" ht="16.2" x14ac:dyDescent="0.45">
      <c r="A68" s="2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2"/>
      <c r="V68" s="2"/>
      <c r="W68" s="2"/>
      <c r="X68" s="2"/>
      <c r="Y68" s="2"/>
      <c r="Z68" s="2"/>
      <c r="AA68" s="2"/>
      <c r="AB68" s="2"/>
      <c r="AC68" s="2"/>
    </row>
    <row r="69" spans="1:29" ht="16.2" x14ac:dyDescent="0.45">
      <c r="A69" s="2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2"/>
      <c r="V69" s="2"/>
      <c r="W69" s="2"/>
      <c r="X69" s="2"/>
      <c r="Y69" s="2"/>
      <c r="Z69" s="2"/>
      <c r="AA69" s="2"/>
      <c r="AB69" s="2"/>
      <c r="AC69" s="2"/>
    </row>
    <row r="70" spans="1:29" ht="16.2" x14ac:dyDescent="0.45">
      <c r="A70" s="2"/>
      <c r="B70" s="19"/>
      <c r="C70" s="19"/>
      <c r="D70" s="19"/>
      <c r="E70" s="19"/>
      <c r="F70" s="19"/>
      <c r="G70" s="19"/>
      <c r="H70" s="19"/>
      <c r="I70" s="19" t="s">
        <v>23</v>
      </c>
      <c r="J70" s="168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2"/>
      <c r="V70" s="2"/>
      <c r="W70" s="2"/>
      <c r="X70" s="2"/>
      <c r="Y70" s="2"/>
      <c r="Z70" s="2"/>
      <c r="AA70" s="2"/>
      <c r="AB70" s="2"/>
      <c r="AC70" s="2"/>
    </row>
    <row r="71" spans="1:29" ht="16.2" x14ac:dyDescent="0.45">
      <c r="A71" s="2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2"/>
      <c r="V71" s="2"/>
      <c r="W71" s="2"/>
      <c r="X71" s="2"/>
      <c r="Y71" s="2"/>
      <c r="Z71" s="2"/>
      <c r="AA71" s="2"/>
      <c r="AB71" s="2"/>
      <c r="AC71" s="2"/>
    </row>
    <row r="72" spans="1:29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x14ac:dyDescent="0.3">
      <c r="A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x14ac:dyDescent="0.3">
      <c r="A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x14ac:dyDescent="0.3">
      <c r="A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x14ac:dyDescent="0.3">
      <c r="A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x14ac:dyDescent="0.3">
      <c r="A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x14ac:dyDescent="0.3">
      <c r="A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x14ac:dyDescent="0.3">
      <c r="A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x14ac:dyDescent="0.3">
      <c r="A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x14ac:dyDescent="0.3">
      <c r="A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x14ac:dyDescent="0.3">
      <c r="A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x14ac:dyDescent="0.3">
      <c r="A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x14ac:dyDescent="0.3">
      <c r="A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</sheetData>
  <conditionalFormatting sqref="N5">
    <cfRule type="expression" dxfId="2" priority="1">
      <formula>"if n5 = Scenario's do not match"</formula>
    </cfRule>
    <cfRule type="expression" dxfId="1" priority="2">
      <formula>$N$5</formula>
    </cfRule>
  </conditionalFormatting>
  <pageMargins left="0.7" right="0.7" top="0.75" bottom="0.75" header="0.3" footer="0.3"/>
  <pageSetup orientation="portrait" r:id="rId1"/>
  <ignoredErrors>
    <ignoredError sqref="G31:K31" formulaRange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82C0CDF-B36A-4750-82AC-5B5E3259FA1D}">
          <x14:formula1>
            <xm:f>Assumptions!$B$18:$B$20</xm:f>
          </x14:formula1>
          <xm:sqref>T5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0A7E-CDD1-444E-9055-4E997C4DF453}">
  <sheetPr>
    <tabColor rgb="FFC9F223"/>
  </sheetPr>
  <dimension ref="A1:AK122"/>
  <sheetViews>
    <sheetView showGridLines="0" zoomScale="80" zoomScaleNormal="80" workbookViewId="0">
      <pane ySplit="5" topLeftCell="A16" activePane="bottomLeft" state="frozen"/>
      <selection activeCell="P2" sqref="P2:P4"/>
      <selection pane="bottomLeft" activeCell="B3" sqref="B3"/>
    </sheetView>
  </sheetViews>
  <sheetFormatPr defaultRowHeight="14.4" outlineLevelRow="1" x14ac:dyDescent="0.3"/>
  <cols>
    <col min="1" max="1" width="2.5546875" customWidth="1"/>
    <col min="5" max="5" width="10.5546875" bestFit="1" customWidth="1"/>
    <col min="6" max="8" width="12.77734375" customWidth="1"/>
    <col min="9" max="11" width="13.77734375" customWidth="1"/>
    <col min="12" max="18" width="14.77734375" customWidth="1"/>
    <col min="19" max="20" width="12.77734375" customWidth="1"/>
    <col min="27" max="27" width="10.44140625" customWidth="1"/>
  </cols>
  <sheetData>
    <row r="1" spans="1:28" ht="16.2" x14ac:dyDescent="0.4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27"/>
      <c r="U1" s="27"/>
    </row>
    <row r="2" spans="1:28" ht="27" x14ac:dyDescent="0.75">
      <c r="B2" s="34" t="s">
        <v>126</v>
      </c>
      <c r="C2" s="35"/>
      <c r="D2" s="35"/>
      <c r="E2" s="35"/>
      <c r="F2" s="35"/>
      <c r="G2" s="35"/>
      <c r="H2" s="32"/>
      <c r="I2" s="32"/>
      <c r="J2" s="32"/>
      <c r="K2" s="32"/>
      <c r="L2" s="36"/>
      <c r="M2" s="36"/>
      <c r="N2" s="36"/>
      <c r="O2" s="36"/>
      <c r="P2" s="36"/>
      <c r="Q2" s="36"/>
      <c r="R2" s="36"/>
      <c r="S2" s="33"/>
      <c r="T2" s="27"/>
      <c r="U2" s="27"/>
    </row>
    <row r="3" spans="1:28" ht="16.2" x14ac:dyDescent="0.45">
      <c r="B3" s="37" t="str">
        <f ca="1">'Cover Page'!E5&amp;" | "&amp;TEXT(TODAY(),"mmmm d, yyyy")</f>
        <v>Caterpillar Inc. (CAT) | February 11, 2026</v>
      </c>
      <c r="C3" s="38"/>
      <c r="D3" s="38"/>
      <c r="E3" s="38"/>
      <c r="F3" s="38"/>
      <c r="G3" s="38"/>
      <c r="H3" s="38"/>
      <c r="I3" s="39"/>
      <c r="J3" s="39"/>
      <c r="K3" s="39"/>
      <c r="L3" s="39"/>
      <c r="M3" s="39"/>
      <c r="N3" s="39"/>
      <c r="O3" s="39"/>
      <c r="P3" s="39"/>
      <c r="Q3" s="39"/>
      <c r="R3" s="39"/>
      <c r="S3" s="27"/>
      <c r="T3" s="27"/>
      <c r="U3" s="27"/>
    </row>
    <row r="4" spans="1:28" ht="16.2" x14ac:dyDescent="0.45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</row>
    <row r="5" spans="1:28" ht="16.8" thickBot="1" x14ac:dyDescent="0.5">
      <c r="B5" s="145" t="str">
        <f>+Assumptions!$D$11</f>
        <v>USD' millions</v>
      </c>
      <c r="C5" s="40"/>
      <c r="D5" s="40"/>
      <c r="E5" s="40"/>
      <c r="F5" s="40"/>
      <c r="G5" s="40"/>
      <c r="H5" s="40"/>
      <c r="I5" s="41"/>
      <c r="J5" s="41"/>
      <c r="K5" s="41"/>
      <c r="L5" s="42"/>
      <c r="M5" s="42"/>
      <c r="N5" s="171"/>
      <c r="O5" s="42"/>
      <c r="P5" s="42"/>
      <c r="Q5" s="196"/>
      <c r="R5" s="196"/>
      <c r="S5" s="21" t="s">
        <v>91</v>
      </c>
      <c r="T5" s="43" t="str">
        <f>+'P&amp;L'!$T$5</f>
        <v>BASE</v>
      </c>
      <c r="U5" s="27"/>
    </row>
    <row r="6" spans="1:28" ht="16.2" x14ac:dyDescent="0.45">
      <c r="A6" s="2"/>
      <c r="B6" s="19"/>
      <c r="C6" s="19"/>
      <c r="D6" s="19"/>
      <c r="E6" s="19"/>
      <c r="F6" s="19"/>
      <c r="G6" s="19"/>
      <c r="H6" s="19"/>
      <c r="I6" s="44"/>
      <c r="J6" s="44"/>
      <c r="K6" s="44"/>
      <c r="L6" s="44"/>
      <c r="M6" s="44"/>
      <c r="N6" s="44"/>
      <c r="O6" s="27"/>
      <c r="P6" s="19"/>
      <c r="Q6" s="19"/>
      <c r="R6" s="19"/>
      <c r="S6" s="19"/>
      <c r="T6" s="19"/>
      <c r="U6" s="19"/>
      <c r="V6" s="2"/>
      <c r="W6" s="2"/>
      <c r="X6" s="2"/>
      <c r="Y6" s="2"/>
      <c r="Z6" s="2"/>
      <c r="AA6" s="2"/>
      <c r="AB6" s="2"/>
    </row>
    <row r="7" spans="1:28" ht="16.2" x14ac:dyDescent="0.45">
      <c r="A7" s="2"/>
      <c r="B7" s="45" t="s">
        <v>142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19"/>
      <c r="T7" s="19"/>
      <c r="U7" s="19"/>
      <c r="V7" s="2"/>
      <c r="W7" s="2"/>
      <c r="X7" s="2"/>
      <c r="Y7" s="2"/>
      <c r="Z7" s="2"/>
      <c r="AA7" s="2"/>
      <c r="AB7" s="2"/>
    </row>
    <row r="8" spans="1:28" ht="16.2" x14ac:dyDescent="0.45">
      <c r="A8" s="2"/>
      <c r="B8" s="47" t="s">
        <v>29</v>
      </c>
      <c r="C8" s="19"/>
      <c r="D8" s="19"/>
      <c r="E8" s="19"/>
      <c r="F8" s="19"/>
      <c r="G8" s="48">
        <v>365</v>
      </c>
      <c r="H8" s="48">
        <v>365</v>
      </c>
      <c r="I8" s="48">
        <v>365</v>
      </c>
      <c r="J8" s="48">
        <v>365</v>
      </c>
      <c r="K8" s="48">
        <v>365</v>
      </c>
      <c r="L8" s="48">
        <v>365</v>
      </c>
      <c r="M8" s="48">
        <v>365</v>
      </c>
      <c r="N8" s="48">
        <v>365</v>
      </c>
      <c r="O8" s="48">
        <v>365</v>
      </c>
      <c r="P8" s="48">
        <v>365</v>
      </c>
      <c r="Q8" s="48">
        <v>365</v>
      </c>
      <c r="R8" s="48">
        <v>365</v>
      </c>
      <c r="S8" s="19"/>
      <c r="T8" s="19"/>
      <c r="U8" s="19"/>
      <c r="V8" s="2"/>
      <c r="W8" s="2"/>
      <c r="X8" s="2"/>
      <c r="Y8" s="2"/>
      <c r="Z8" s="2"/>
      <c r="AA8" s="2"/>
      <c r="AB8" s="2"/>
    </row>
    <row r="9" spans="1:28" ht="16.2" x14ac:dyDescent="0.45">
      <c r="A9" s="2"/>
      <c r="B9" s="19"/>
      <c r="C9" s="19"/>
      <c r="D9" s="19"/>
      <c r="E9" s="19"/>
      <c r="F9" s="19"/>
      <c r="G9" s="19"/>
      <c r="H9" s="49"/>
      <c r="I9" s="19"/>
      <c r="J9" s="19"/>
      <c r="K9" s="19"/>
      <c r="L9" s="19"/>
      <c r="M9" s="19"/>
      <c r="N9" s="19"/>
      <c r="O9" s="19"/>
      <c r="P9" s="19"/>
      <c r="Q9" s="19"/>
      <c r="R9" s="19"/>
      <c r="S9" s="21"/>
      <c r="T9" s="19"/>
      <c r="U9" s="19"/>
      <c r="V9" s="2"/>
      <c r="W9" s="2"/>
      <c r="X9" s="2"/>
      <c r="Y9" s="2"/>
      <c r="Z9" s="2"/>
      <c r="AA9" s="2"/>
      <c r="AB9" s="2"/>
    </row>
    <row r="10" spans="1:28" ht="16.2" x14ac:dyDescent="0.45">
      <c r="A10" s="2"/>
      <c r="B10" s="21" t="s">
        <v>145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2"/>
      <c r="W10" s="2"/>
      <c r="X10" s="2"/>
      <c r="Y10" s="2"/>
      <c r="Z10" s="2"/>
      <c r="AA10" s="2"/>
      <c r="AB10" s="2"/>
    </row>
    <row r="11" spans="1:28" ht="16.2" x14ac:dyDescent="0.45">
      <c r="A11" s="2"/>
      <c r="B11" s="19" t="s">
        <v>229</v>
      </c>
      <c r="C11" s="19"/>
      <c r="D11" s="19"/>
      <c r="E11" s="19"/>
      <c r="F11" s="19"/>
      <c r="G11" s="54"/>
      <c r="H11" s="54"/>
      <c r="I11" s="54"/>
      <c r="J11" s="54"/>
      <c r="K11" s="54"/>
      <c r="L11" s="55">
        <f ca="1">OFFSET(Assumptions!G53,MATCH('P&amp;L'!$T$5,Assumptions!$B$54:$B$56,0),0)</f>
        <v>106</v>
      </c>
      <c r="M11" s="55">
        <f ca="1">OFFSET(Assumptions!H53,MATCH('P&amp;L'!$T$5,Assumptions!$B$54:$B$56,0),0)</f>
        <v>106</v>
      </c>
      <c r="N11" s="55">
        <f ca="1">OFFSET(Assumptions!I53,MATCH('P&amp;L'!$T$5,Assumptions!$B$54:$B$56,0),0)</f>
        <v>106</v>
      </c>
      <c r="O11" s="55">
        <f ca="1">OFFSET(Assumptions!J53,MATCH('P&amp;L'!$T$5,Assumptions!$B$54:$B$56,0),0)</f>
        <v>106</v>
      </c>
      <c r="P11" s="55">
        <f ca="1">OFFSET(Assumptions!K53,MATCH('P&amp;L'!$T$5,Assumptions!$B$54:$B$56,0),0)</f>
        <v>106</v>
      </c>
      <c r="Q11" s="55">
        <f ca="1">OFFSET(Assumptions!L53,MATCH('P&amp;L'!$T$5,Assumptions!$B$54:$B$56,0),0)</f>
        <v>106</v>
      </c>
      <c r="R11" s="55">
        <f ca="1">OFFSET(Assumptions!M53,MATCH('P&amp;L'!$T$5,Assumptions!$B$54:$B$56,0),0)</f>
        <v>106</v>
      </c>
      <c r="S11" s="19"/>
      <c r="T11" s="19"/>
      <c r="U11" s="19"/>
      <c r="V11" s="2"/>
      <c r="W11" s="2"/>
      <c r="X11" s="2"/>
      <c r="Y11" s="2"/>
      <c r="Z11" s="2"/>
      <c r="AA11" s="2"/>
      <c r="AB11" s="2"/>
    </row>
    <row r="12" spans="1:28" ht="16.2" x14ac:dyDescent="0.45">
      <c r="A12" s="2"/>
      <c r="B12" s="19" t="s">
        <v>230</v>
      </c>
      <c r="C12" s="19"/>
      <c r="D12" s="19"/>
      <c r="E12" s="19"/>
      <c r="F12" s="19"/>
      <c r="G12" s="54"/>
      <c r="H12" s="54"/>
      <c r="I12" s="54"/>
      <c r="J12" s="54"/>
      <c r="K12" s="54"/>
      <c r="L12" s="55">
        <f ca="1">OFFSET(Assumptions!G58,MATCH('P&amp;L'!$T$5,Assumptions!$B$59:$B$61,0),0)</f>
        <v>142</v>
      </c>
      <c r="M12" s="55">
        <f ca="1">OFFSET(Assumptions!H58,MATCH('P&amp;L'!$T$5,Assumptions!$B$59:$B$61,0),0)</f>
        <v>142</v>
      </c>
      <c r="N12" s="55">
        <f ca="1">OFFSET(Assumptions!I58,MATCH('P&amp;L'!$T$5,Assumptions!$B$59:$B$61,0),0)</f>
        <v>142</v>
      </c>
      <c r="O12" s="55">
        <f ca="1">OFFSET(Assumptions!J58,MATCH('P&amp;L'!$T$5,Assumptions!$B$59:$B$61,0),0)</f>
        <v>142</v>
      </c>
      <c r="P12" s="55">
        <f ca="1">OFFSET(Assumptions!K58,MATCH('P&amp;L'!$T$5,Assumptions!$B$59:$B$61,0),0)</f>
        <v>142</v>
      </c>
      <c r="Q12" s="55">
        <f ca="1">OFFSET(Assumptions!L58,MATCH('P&amp;L'!$T$5,Assumptions!$B$59:$B$61,0),0)</f>
        <v>142</v>
      </c>
      <c r="R12" s="55">
        <f ca="1">OFFSET(Assumptions!M58,MATCH('P&amp;L'!$T$5,Assumptions!$B$59:$B$61,0),0)</f>
        <v>142</v>
      </c>
      <c r="S12" s="19"/>
      <c r="T12" s="19"/>
      <c r="U12" s="19"/>
      <c r="V12" s="2"/>
      <c r="W12" s="2"/>
      <c r="X12" s="2"/>
      <c r="Y12" s="2"/>
      <c r="Z12" s="2"/>
      <c r="AA12" s="2"/>
      <c r="AB12" s="2"/>
    </row>
    <row r="13" spans="1:28" ht="16.2" x14ac:dyDescent="0.45">
      <c r="A13" s="2"/>
      <c r="B13" s="19" t="s">
        <v>231</v>
      </c>
      <c r="C13" s="19"/>
      <c r="D13" s="19"/>
      <c r="E13" s="19"/>
      <c r="F13" s="19"/>
      <c r="G13" s="54"/>
      <c r="H13" s="54"/>
      <c r="I13" s="54"/>
      <c r="J13" s="54"/>
      <c r="K13" s="54"/>
      <c r="L13" s="55">
        <f ca="1">OFFSET(Assumptions!G63,MATCH('P&amp;L'!$T$5,Assumptions!$B$64:$B$66,0),0)</f>
        <v>71</v>
      </c>
      <c r="M13" s="55">
        <f ca="1">OFFSET(Assumptions!H63,MATCH('P&amp;L'!$T$5,Assumptions!$B$64:$B$66,0),0)</f>
        <v>71</v>
      </c>
      <c r="N13" s="55">
        <f ca="1">OFFSET(Assumptions!I63,MATCH('P&amp;L'!$T$5,Assumptions!$B$64:$B$66,0),0)</f>
        <v>71</v>
      </c>
      <c r="O13" s="55">
        <f ca="1">OFFSET(Assumptions!J63,MATCH('P&amp;L'!$T$5,Assumptions!$B$64:$B$66,0),0)</f>
        <v>71</v>
      </c>
      <c r="P13" s="55">
        <f ca="1">OFFSET(Assumptions!K63,MATCH('P&amp;L'!$T$5,Assumptions!$B$64:$B$66,0),0)</f>
        <v>71</v>
      </c>
      <c r="Q13" s="55">
        <f ca="1">OFFSET(Assumptions!L63,MATCH('P&amp;L'!$T$5,Assumptions!$B$64:$B$66,0),0)</f>
        <v>71</v>
      </c>
      <c r="R13" s="55">
        <f ca="1">OFFSET(Assumptions!M63,MATCH('P&amp;L'!$T$5,Assumptions!$B$64:$B$66,0),0)</f>
        <v>71</v>
      </c>
      <c r="S13" s="51"/>
      <c r="T13" s="19"/>
      <c r="U13" s="19"/>
      <c r="V13" s="2"/>
      <c r="W13" s="2"/>
      <c r="X13" s="2"/>
      <c r="Y13" s="2"/>
      <c r="Z13" s="2"/>
      <c r="AA13" s="2"/>
      <c r="AB13" s="2"/>
    </row>
    <row r="14" spans="1:28" ht="16.2" x14ac:dyDescent="0.45">
      <c r="A14" s="2" t="s">
        <v>27</v>
      </c>
      <c r="B14" s="19" t="s">
        <v>90</v>
      </c>
      <c r="C14" s="19"/>
      <c r="D14" s="19"/>
      <c r="E14" s="19"/>
      <c r="F14" s="19"/>
      <c r="G14" s="53"/>
      <c r="H14" s="53"/>
      <c r="I14" s="53"/>
      <c r="J14" s="53"/>
      <c r="K14" s="53"/>
      <c r="L14" s="174">
        <f ca="1">OFFSET(Assumptions!G68,MATCH($T$5,Assumptions!$B$69:$B$71,0),0)</f>
        <v>0.30499999999999999</v>
      </c>
      <c r="M14" s="174">
        <f ca="1">OFFSET(Assumptions!H68,MATCH($T$5,Assumptions!$B$69:$B$71,0),0)</f>
        <v>0.23</v>
      </c>
      <c r="N14" s="174">
        <f ca="1">OFFSET(Assumptions!I68,MATCH($T$5,Assumptions!$B$69:$B$71,0),0)</f>
        <v>0.23</v>
      </c>
      <c r="O14" s="174">
        <f ca="1">OFFSET(Assumptions!J68,MATCH($T$5,Assumptions!$B$69:$B$71,0),0)</f>
        <v>0.23</v>
      </c>
      <c r="P14" s="174">
        <f ca="1">OFFSET(Assumptions!K68,MATCH($T$5,Assumptions!$B$69:$B$71,0),0)</f>
        <v>0.23</v>
      </c>
      <c r="Q14" s="174">
        <f ca="1">OFFSET(Assumptions!L68,MATCH($T$5,Assumptions!$B$69:$B$71,0),0)</f>
        <v>0.23</v>
      </c>
      <c r="R14" s="174">
        <f ca="1">OFFSET(Assumptions!M68,MATCH($T$5,Assumptions!$B$69:$B$71,0),0)</f>
        <v>0.23</v>
      </c>
      <c r="S14" s="51"/>
      <c r="T14" s="19"/>
      <c r="U14" s="19"/>
      <c r="V14" s="2"/>
      <c r="W14" s="2"/>
      <c r="X14" s="2"/>
      <c r="Y14" s="2"/>
      <c r="Z14" s="2"/>
      <c r="AA14" s="2"/>
      <c r="AB14" s="2"/>
    </row>
    <row r="15" spans="1:28" ht="16.2" x14ac:dyDescent="0.45">
      <c r="A15" s="2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2"/>
      <c r="W15" s="2"/>
      <c r="X15" s="2"/>
      <c r="Y15" s="2"/>
      <c r="Z15" s="2"/>
      <c r="AA15" s="2"/>
      <c r="AB15" s="2"/>
    </row>
    <row r="16" spans="1:28" ht="16.2" x14ac:dyDescent="0.45">
      <c r="A16" s="2"/>
      <c r="B16" s="45" t="s">
        <v>1</v>
      </c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9"/>
      <c r="T16" s="19"/>
      <c r="U16" s="19"/>
      <c r="V16" s="2"/>
      <c r="W16" s="2"/>
      <c r="X16" s="2"/>
      <c r="Y16" s="2"/>
      <c r="Z16" s="2"/>
      <c r="AA16" s="2"/>
      <c r="AB16" s="2"/>
    </row>
    <row r="17" spans="1:28" ht="16.2" x14ac:dyDescent="0.45">
      <c r="A17" s="2"/>
      <c r="B17" s="21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2"/>
      <c r="W17" s="2"/>
      <c r="X17" s="2"/>
      <c r="Y17" s="2"/>
      <c r="Z17" s="2"/>
      <c r="AA17" s="2"/>
      <c r="AB17" s="2"/>
    </row>
    <row r="18" spans="1:28" ht="16.2" x14ac:dyDescent="0.45">
      <c r="A18" s="2"/>
      <c r="B18" s="47" t="s">
        <v>95</v>
      </c>
      <c r="C18" s="19"/>
      <c r="D18" s="19"/>
      <c r="E18" s="19"/>
      <c r="F18" s="19"/>
      <c r="G18" s="56">
        <f t="shared" ref="G18:I18" si="0">+DATE(YEAR(H18)-1,MONTH(H18),DAY(H18))</f>
        <v>44561</v>
      </c>
      <c r="H18" s="56">
        <f t="shared" si="0"/>
        <v>44926</v>
      </c>
      <c r="I18" s="56">
        <f t="shared" si="0"/>
        <v>45291</v>
      </c>
      <c r="J18" s="56">
        <f>+DATE(YEAR(K18)-1,MONTH(K18),DAY(K18))</f>
        <v>45657</v>
      </c>
      <c r="K18" s="56">
        <f>+DATE(YEAR(Assumptions!$D$10)-1,MONTH(Assumptions!$D$10),DAY(Assumptions!$D$10))</f>
        <v>46022</v>
      </c>
      <c r="L18" s="109">
        <f>+DATE(YEAR(K18)+1,MONTH(K18),DAY(K18))</f>
        <v>46387</v>
      </c>
      <c r="M18" s="109">
        <f t="shared" ref="M18:P18" si="1">+DATE(YEAR(L18)+1,MONTH(L18),DAY(L18))</f>
        <v>46752</v>
      </c>
      <c r="N18" s="109">
        <f t="shared" si="1"/>
        <v>47118</v>
      </c>
      <c r="O18" s="109">
        <f t="shared" si="1"/>
        <v>47483</v>
      </c>
      <c r="P18" s="109">
        <f t="shared" si="1"/>
        <v>47848</v>
      </c>
      <c r="Q18" s="109">
        <f t="shared" ref="Q18" si="2">+DATE(YEAR(P18)+1,MONTH(P18),DAY(P18))</f>
        <v>48213</v>
      </c>
      <c r="R18" s="109">
        <f t="shared" ref="R18" si="3">+DATE(YEAR(Q18)+1,MONTH(Q18),DAY(Q18))</f>
        <v>48579</v>
      </c>
      <c r="S18" s="19"/>
      <c r="T18" s="19"/>
      <c r="U18" s="19"/>
      <c r="V18" s="2"/>
      <c r="W18" s="2"/>
      <c r="X18" s="2"/>
      <c r="Y18" s="2"/>
      <c r="Z18" s="2"/>
      <c r="AA18" s="2"/>
      <c r="AB18" s="2"/>
    </row>
    <row r="19" spans="1:28" ht="16.2" x14ac:dyDescent="0.45">
      <c r="A19" s="2"/>
      <c r="B19" s="47"/>
      <c r="C19" s="19"/>
      <c r="D19" s="19"/>
      <c r="E19" s="19"/>
      <c r="F19" s="19"/>
      <c r="G19" s="110" t="s">
        <v>131</v>
      </c>
      <c r="H19" s="110" t="s">
        <v>131</v>
      </c>
      <c r="I19" s="110" t="s">
        <v>131</v>
      </c>
      <c r="J19" s="110" t="s">
        <v>131</v>
      </c>
      <c r="K19" s="110" t="s">
        <v>131</v>
      </c>
      <c r="L19" s="143" t="s">
        <v>132</v>
      </c>
      <c r="M19" s="143" t="s">
        <v>132</v>
      </c>
      <c r="N19" s="143" t="s">
        <v>132</v>
      </c>
      <c r="O19" s="143" t="s">
        <v>132</v>
      </c>
      <c r="P19" s="143" t="s">
        <v>132</v>
      </c>
      <c r="Q19" s="143" t="s">
        <v>132</v>
      </c>
      <c r="R19" s="143" t="s">
        <v>132</v>
      </c>
      <c r="S19" s="19"/>
      <c r="T19" s="19"/>
      <c r="U19" s="19"/>
      <c r="V19" s="2"/>
      <c r="W19" s="2"/>
      <c r="X19" s="2"/>
      <c r="Y19" s="2"/>
      <c r="Z19" s="2"/>
      <c r="AA19" s="2"/>
      <c r="AB19" s="2"/>
    </row>
    <row r="20" spans="1:28" ht="16.2" x14ac:dyDescent="0.45">
      <c r="A20" s="2"/>
      <c r="B20" s="21" t="s">
        <v>102</v>
      </c>
      <c r="C20" s="19"/>
      <c r="D20" s="19"/>
      <c r="E20" s="19"/>
      <c r="F20" s="19"/>
      <c r="G20" s="19"/>
      <c r="H20" s="19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19"/>
      <c r="T20" s="19"/>
      <c r="U20" s="19"/>
      <c r="V20" s="2"/>
      <c r="W20" s="2"/>
      <c r="X20" s="2"/>
      <c r="Y20" s="2"/>
      <c r="Z20" s="2"/>
      <c r="AA20" s="2"/>
      <c r="AB20" s="2"/>
    </row>
    <row r="21" spans="1:28" ht="16.2" x14ac:dyDescent="0.45">
      <c r="A21" s="2"/>
      <c r="B21" s="112" t="s">
        <v>86</v>
      </c>
      <c r="C21" s="112"/>
      <c r="D21" s="112"/>
      <c r="E21" s="112"/>
      <c r="F21" s="112"/>
      <c r="G21" s="193">
        <f>+'Input Data'!E42</f>
        <v>12090</v>
      </c>
      <c r="H21" s="193">
        <f>+'Input Data'!F42</f>
        <v>12028</v>
      </c>
      <c r="I21" s="193">
        <f>+'Input Data'!G42</f>
        <v>12680</v>
      </c>
      <c r="J21" s="193">
        <f>+'Input Data'!H42</f>
        <v>13361</v>
      </c>
      <c r="K21" s="193">
        <f>+'Input Data'!I42</f>
        <v>15140</v>
      </c>
      <c r="L21" s="113">
        <f ca="1">+L$49</f>
        <v>17108.2</v>
      </c>
      <c r="M21" s="113">
        <f t="shared" ref="M21:R21" ca="1" si="4">+M$49</f>
        <v>18049.151000000002</v>
      </c>
      <c r="N21" s="113">
        <f t="shared" ca="1" si="4"/>
        <v>19041.854305000001</v>
      </c>
      <c r="O21" s="113">
        <f t="shared" ca="1" si="4"/>
        <v>20089.156291775002</v>
      </c>
      <c r="P21" s="113">
        <f t="shared" ca="1" si="4"/>
        <v>21194.059887822626</v>
      </c>
      <c r="Q21" s="113">
        <f t="shared" ca="1" si="4"/>
        <v>22359.733181652875</v>
      </c>
      <c r="R21" s="113">
        <f t="shared" ca="1" si="4"/>
        <v>23589.518506643784</v>
      </c>
      <c r="S21" s="19"/>
      <c r="T21" s="19"/>
      <c r="U21" s="19"/>
      <c r="V21" s="2"/>
      <c r="W21" s="2"/>
      <c r="X21" s="2"/>
      <c r="Y21" s="2"/>
      <c r="Z21" s="2"/>
      <c r="AA21" s="2"/>
      <c r="AB21" s="2"/>
    </row>
    <row r="22" spans="1:28" ht="16.2" x14ac:dyDescent="0.45">
      <c r="A22" s="2"/>
      <c r="B22" s="19" t="s">
        <v>342</v>
      </c>
      <c r="C22" s="19"/>
      <c r="D22" s="19"/>
      <c r="E22" s="19"/>
      <c r="F22" s="19"/>
      <c r="G22" s="192">
        <f>+'Input Data'!E44</f>
        <v>7366</v>
      </c>
      <c r="H22" s="192">
        <f>+'Input Data'!F44</f>
        <v>6046</v>
      </c>
      <c r="I22" s="192">
        <f>+'Input Data'!G44</f>
        <v>5872</v>
      </c>
      <c r="J22" s="192">
        <f>+'Input Data'!H44</f>
        <v>5640</v>
      </c>
      <c r="K22" s="192">
        <f>+'Input Data'!I44</f>
        <v>5562</v>
      </c>
      <c r="L22" s="53">
        <f>+K22</f>
        <v>5562</v>
      </c>
      <c r="M22" s="53">
        <f t="shared" ref="M22:P23" si="5">+L22</f>
        <v>5562</v>
      </c>
      <c r="N22" s="53">
        <f t="shared" si="5"/>
        <v>5562</v>
      </c>
      <c r="O22" s="53">
        <f t="shared" si="5"/>
        <v>5562</v>
      </c>
      <c r="P22" s="53">
        <f t="shared" si="5"/>
        <v>5562</v>
      </c>
      <c r="Q22" s="53">
        <f t="shared" ref="Q22:Q23" si="6">+P22</f>
        <v>5562</v>
      </c>
      <c r="R22" s="53">
        <f t="shared" ref="R22:R23" si="7">+Q22</f>
        <v>5562</v>
      </c>
      <c r="S22" s="19" t="s">
        <v>255</v>
      </c>
      <c r="T22" s="19"/>
      <c r="U22" s="19"/>
      <c r="V22" s="2"/>
      <c r="W22" s="2"/>
      <c r="X22" s="2"/>
      <c r="Y22" s="2"/>
      <c r="Z22" s="2"/>
      <c r="AA22" s="2"/>
      <c r="AB22" s="2"/>
    </row>
    <row r="23" spans="1:28" ht="16.2" x14ac:dyDescent="0.45">
      <c r="A23" s="2"/>
      <c r="B23" s="19" t="s">
        <v>341</v>
      </c>
      <c r="C23" s="19"/>
      <c r="D23" s="19"/>
      <c r="E23" s="19"/>
      <c r="F23" s="19"/>
      <c r="G23" s="192">
        <f>+'Input Data'!E43+'Input Data'!E45</f>
        <v>19882</v>
      </c>
      <c r="H23" s="192">
        <f>+'Input Data'!F43+'Input Data'!F45</f>
        <v>20084</v>
      </c>
      <c r="I23" s="192">
        <f>+'Input Data'!G43+'Input Data'!G45</f>
        <v>21975</v>
      </c>
      <c r="J23" s="192">
        <f>+'Input Data'!H43+'Input Data'!H45</f>
        <v>23081</v>
      </c>
      <c r="K23" s="192">
        <f>+'Input Data'!I43+'Input Data'!I45</f>
        <v>25398</v>
      </c>
      <c r="L23" s="53">
        <f>+K23</f>
        <v>25398</v>
      </c>
      <c r="M23" s="53">
        <f t="shared" si="5"/>
        <v>25398</v>
      </c>
      <c r="N23" s="53">
        <f t="shared" si="5"/>
        <v>25398</v>
      </c>
      <c r="O23" s="53">
        <f t="shared" si="5"/>
        <v>25398</v>
      </c>
      <c r="P23" s="53">
        <f t="shared" si="5"/>
        <v>25398</v>
      </c>
      <c r="Q23" s="53">
        <f t="shared" si="6"/>
        <v>25398</v>
      </c>
      <c r="R23" s="53">
        <f t="shared" si="7"/>
        <v>25398</v>
      </c>
      <c r="S23" s="19"/>
      <c r="T23" s="19"/>
      <c r="U23" s="19"/>
      <c r="V23" s="2"/>
      <c r="W23" s="2"/>
      <c r="X23" s="2"/>
      <c r="Y23" s="2"/>
      <c r="Z23" s="2"/>
      <c r="AA23" s="2"/>
      <c r="AB23" s="2"/>
    </row>
    <row r="24" spans="1:28" ht="16.2" x14ac:dyDescent="0.45">
      <c r="A24" s="2"/>
      <c r="B24" s="112" t="s">
        <v>87</v>
      </c>
      <c r="C24" s="112"/>
      <c r="D24" s="112"/>
      <c r="E24" s="112"/>
      <c r="F24" s="112"/>
      <c r="G24" s="193">
        <f>+'Input Data'!E39</f>
        <v>14038</v>
      </c>
      <c r="H24" s="193">
        <f>+'Input Data'!F39</f>
        <v>16270</v>
      </c>
      <c r="I24" s="193">
        <f>+'Input Data'!G39</f>
        <v>16565</v>
      </c>
      <c r="J24" s="193">
        <f>+'Input Data'!H39</f>
        <v>16827</v>
      </c>
      <c r="K24" s="193">
        <f>+'Input Data'!I39</f>
        <v>18135</v>
      </c>
      <c r="L24" s="113">
        <f ca="1">+L$61</f>
        <v>18569.457412602744</v>
      </c>
      <c r="M24" s="113">
        <f t="shared" ref="M24:R24" ca="1" si="8">+M$61</f>
        <v>19869.319431484935</v>
      </c>
      <c r="N24" s="113">
        <f t="shared" ca="1" si="8"/>
        <v>19914.476975647405</v>
      </c>
      <c r="O24" s="113">
        <f t="shared" ca="1" si="8"/>
        <v>20910.200824429772</v>
      </c>
      <c r="P24" s="113">
        <f t="shared" ca="1" si="8"/>
        <v>21955.710865651261</v>
      </c>
      <c r="Q24" s="113">
        <f t="shared" ca="1" si="8"/>
        <v>23053.496408933828</v>
      </c>
      <c r="R24" s="113">
        <f t="shared" ca="1" si="8"/>
        <v>24206.171229380518</v>
      </c>
      <c r="S24" s="19"/>
      <c r="T24" s="19"/>
      <c r="U24" s="19"/>
      <c r="V24" s="2"/>
      <c r="W24" s="2"/>
      <c r="X24" s="2"/>
      <c r="Y24" s="2"/>
      <c r="Z24" s="2"/>
      <c r="AA24" s="2"/>
      <c r="AB24" s="2"/>
    </row>
    <row r="25" spans="1:28" ht="16.2" x14ac:dyDescent="0.45">
      <c r="A25" s="2"/>
      <c r="B25" s="19" t="s">
        <v>340</v>
      </c>
      <c r="C25" s="19"/>
      <c r="D25" s="19"/>
      <c r="E25" s="19"/>
      <c r="F25" s="19"/>
      <c r="G25" s="192">
        <f>+SUM('Input Data'!E37:E38)</f>
        <v>17375</v>
      </c>
      <c r="H25" s="192">
        <f>+SUM('Input Data'!F37:F38)</f>
        <v>17869</v>
      </c>
      <c r="I25" s="192">
        <f>+SUM('Input Data'!G37:G38)</f>
        <v>18820</v>
      </c>
      <c r="J25" s="192">
        <f>+SUM('Input Data'!H37:H38)</f>
        <v>18847</v>
      </c>
      <c r="K25" s="192">
        <f>+SUM('Input Data'!I37:I38)</f>
        <v>21569</v>
      </c>
      <c r="L25" s="53">
        <f ca="1">+L$60</f>
        <v>21002.587342465755</v>
      </c>
      <c r="M25" s="53">
        <f t="shared" ref="M25:R25" ca="1" si="9">+M$60</f>
        <v>22472.76845643836</v>
      </c>
      <c r="N25" s="53">
        <f t="shared" ca="1" si="9"/>
        <v>23596.406879260277</v>
      </c>
      <c r="O25" s="53">
        <f t="shared" ca="1" si="9"/>
        <v>24776.227223223294</v>
      </c>
      <c r="P25" s="53">
        <f t="shared" ca="1" si="9"/>
        <v>26015.03858438446</v>
      </c>
      <c r="Q25" s="53">
        <f t="shared" ca="1" si="9"/>
        <v>27315.790513603686</v>
      </c>
      <c r="R25" s="53">
        <f t="shared" ca="1" si="9"/>
        <v>28681.580039283868</v>
      </c>
      <c r="S25" s="19"/>
      <c r="T25" s="19"/>
      <c r="U25" s="19"/>
      <c r="V25" s="2"/>
      <c r="W25" s="2"/>
      <c r="X25" s="2"/>
      <c r="Y25" s="2"/>
      <c r="Z25" s="2"/>
      <c r="AA25" s="2"/>
      <c r="AB25" s="2"/>
    </row>
    <row r="26" spans="1:28" ht="16.2" x14ac:dyDescent="0.45">
      <c r="A26" s="2"/>
      <c r="B26" s="19" t="s">
        <v>263</v>
      </c>
      <c r="C26" s="19"/>
      <c r="D26" s="19"/>
      <c r="E26" s="19"/>
      <c r="F26" s="19"/>
      <c r="G26" s="192">
        <f>+'Input Data'!E36</f>
        <v>9254</v>
      </c>
      <c r="H26" s="192">
        <f>+'Input Data'!F36</f>
        <v>7004</v>
      </c>
      <c r="I26" s="192">
        <f>+'Input Data'!G36</f>
        <v>6978</v>
      </c>
      <c r="J26" s="192">
        <f>+'Input Data'!H36</f>
        <v>6889</v>
      </c>
      <c r="K26" s="192">
        <f>+'Input Data'!I36</f>
        <v>9980</v>
      </c>
      <c r="L26" s="53">
        <f ca="1">+'Cash Flow'!L$34</f>
        <v>14158.739347366327</v>
      </c>
      <c r="M26" s="53">
        <f ca="1">+'Cash Flow'!M$34</f>
        <v>19040.888296823668</v>
      </c>
      <c r="N26" s="53">
        <f ca="1">+'Cash Flow'!N$34</f>
        <v>24593.008761469835</v>
      </c>
      <c r="O26" s="53">
        <f ca="1">+'Cash Flow'!O$34</f>
        <v>32031.59605649588</v>
      </c>
      <c r="P26" s="53">
        <f ca="1">+'Cash Flow'!P$34</f>
        <v>40026.736357596863</v>
      </c>
      <c r="Q26" s="53">
        <f ca="1">+'Cash Flow'!Q$34</f>
        <v>48604.372961634304</v>
      </c>
      <c r="R26" s="53">
        <f ca="1">+'Cash Flow'!R$34</f>
        <v>57791.629604905058</v>
      </c>
      <c r="S26" s="19"/>
      <c r="T26" s="19"/>
      <c r="U26" s="19"/>
      <c r="V26" s="2"/>
      <c r="W26" s="2"/>
    </row>
    <row r="27" spans="1:28" ht="16.2" x14ac:dyDescent="0.45">
      <c r="A27" s="2"/>
      <c r="B27" s="19" t="s">
        <v>257</v>
      </c>
      <c r="C27" s="19"/>
      <c r="D27" s="19"/>
      <c r="E27" s="19"/>
      <c r="F27" s="19"/>
      <c r="G27" s="192">
        <f>+'Input Data'!E40</f>
        <v>2788</v>
      </c>
      <c r="H27" s="192">
        <f>+'Input Data'!F40</f>
        <v>2642</v>
      </c>
      <c r="I27" s="192">
        <f>+'Input Data'!G40</f>
        <v>4586</v>
      </c>
      <c r="J27" s="192">
        <f>+'Input Data'!H40</f>
        <v>3119</v>
      </c>
      <c r="K27" s="192">
        <f>+'Input Data'!I40</f>
        <v>2801</v>
      </c>
      <c r="L27" s="53">
        <f>+K27</f>
        <v>2801</v>
      </c>
      <c r="M27" s="53">
        <f t="shared" ref="M27:P27" si="10">+L27</f>
        <v>2801</v>
      </c>
      <c r="N27" s="53">
        <f t="shared" si="10"/>
        <v>2801</v>
      </c>
      <c r="O27" s="53">
        <f t="shared" si="10"/>
        <v>2801</v>
      </c>
      <c r="P27" s="53">
        <f t="shared" si="10"/>
        <v>2801</v>
      </c>
      <c r="Q27" s="53">
        <f t="shared" ref="Q27" si="11">+P27</f>
        <v>2801</v>
      </c>
      <c r="R27" s="53">
        <f t="shared" ref="R27" si="12">+Q27</f>
        <v>2801</v>
      </c>
      <c r="S27" s="19" t="s">
        <v>255</v>
      </c>
      <c r="T27" s="19"/>
      <c r="U27" s="19"/>
      <c r="V27" s="2"/>
      <c r="W27" s="2"/>
    </row>
    <row r="28" spans="1:28" ht="16.8" thickBot="1" x14ac:dyDescent="0.5">
      <c r="A28" s="2"/>
      <c r="B28" s="58" t="s">
        <v>101</v>
      </c>
      <c r="C28" s="59"/>
      <c r="D28" s="59"/>
      <c r="E28" s="59"/>
      <c r="F28" s="59"/>
      <c r="G28" s="60">
        <f>+SUM(G21:G23,G24:G27)</f>
        <v>82793</v>
      </c>
      <c r="H28" s="60">
        <f t="shared" ref="H28:R28" si="13">+SUM(H21:H23,H24:H27)</f>
        <v>81943</v>
      </c>
      <c r="I28" s="60">
        <f t="shared" si="13"/>
        <v>87476</v>
      </c>
      <c r="J28" s="60">
        <f t="shared" si="13"/>
        <v>87764</v>
      </c>
      <c r="K28" s="60">
        <f t="shared" si="13"/>
        <v>98585</v>
      </c>
      <c r="L28" s="60">
        <f t="shared" ca="1" si="13"/>
        <v>104599.98410243483</v>
      </c>
      <c r="M28" s="60">
        <f t="shared" ca="1" si="13"/>
        <v>113193.12718474698</v>
      </c>
      <c r="N28" s="60">
        <f t="shared" ca="1" si="13"/>
        <v>120906.74692137752</v>
      </c>
      <c r="O28" s="60">
        <f t="shared" ca="1" si="13"/>
        <v>131568.18039592396</v>
      </c>
      <c r="P28" s="60">
        <f t="shared" ca="1" si="13"/>
        <v>142952.54569545522</v>
      </c>
      <c r="Q28" s="60">
        <f t="shared" ca="1" si="13"/>
        <v>155094.3930658247</v>
      </c>
      <c r="R28" s="60">
        <f t="shared" ca="1" si="13"/>
        <v>168029.89938021323</v>
      </c>
      <c r="S28" s="19"/>
      <c r="T28" s="19"/>
      <c r="U28" s="19"/>
      <c r="V28" s="2"/>
      <c r="W28" s="2"/>
    </row>
    <row r="29" spans="1:28" ht="16.2" x14ac:dyDescent="0.45">
      <c r="A29" s="2"/>
      <c r="B29" s="19"/>
      <c r="C29" s="19"/>
      <c r="D29" s="19"/>
      <c r="E29" s="19"/>
      <c r="F29" s="19"/>
      <c r="G29" s="192"/>
      <c r="H29" s="192"/>
      <c r="I29" s="192"/>
      <c r="J29" s="192"/>
      <c r="K29" s="192"/>
      <c r="L29" s="53"/>
      <c r="M29" s="53"/>
      <c r="N29" s="53"/>
      <c r="O29" s="53"/>
      <c r="P29" s="53"/>
      <c r="Q29" s="53"/>
      <c r="R29" s="53"/>
      <c r="S29" s="19"/>
      <c r="T29" s="19"/>
      <c r="U29" s="19"/>
      <c r="V29" s="2"/>
      <c r="W29" s="2"/>
    </row>
    <row r="30" spans="1:28" ht="16.2" x14ac:dyDescent="0.45">
      <c r="A30" s="2"/>
      <c r="B30" s="21" t="s">
        <v>99</v>
      </c>
      <c r="C30" s="19"/>
      <c r="D30" s="19"/>
      <c r="E30" s="19"/>
      <c r="F30" s="19"/>
      <c r="G30" s="192"/>
      <c r="H30" s="192"/>
      <c r="I30" s="192"/>
      <c r="J30" s="192"/>
      <c r="K30" s="192"/>
      <c r="L30" s="53"/>
      <c r="M30" s="53"/>
      <c r="N30" s="53"/>
      <c r="O30" s="53"/>
      <c r="P30" s="53"/>
      <c r="Q30" s="53"/>
      <c r="R30" s="53"/>
      <c r="S30" s="19"/>
      <c r="T30" s="19"/>
      <c r="U30" s="19"/>
      <c r="V30" s="2"/>
      <c r="W30" s="2"/>
    </row>
    <row r="31" spans="1:28" ht="16.2" x14ac:dyDescent="0.45">
      <c r="A31" s="2"/>
      <c r="B31" s="19" t="s">
        <v>251</v>
      </c>
      <c r="C31" s="19"/>
      <c r="D31" s="19"/>
      <c r="E31" s="19"/>
      <c r="F31" s="19"/>
      <c r="G31" s="192">
        <f>+SUM('Input Data'!E60:E61)</f>
        <v>-21245</v>
      </c>
      <c r="H31" s="192">
        <f>+SUM('Input Data'!F60:F61)</f>
        <v>-25188</v>
      </c>
      <c r="I31" s="192">
        <f>+SUM('Input Data'!G60:G61)</f>
        <v>-29936</v>
      </c>
      <c r="J31" s="192">
        <f>+SUM('Input Data'!H60:H61)</f>
        <v>-37390</v>
      </c>
      <c r="K31" s="192">
        <f>+SUM('Input Data'!I60:I61)</f>
        <v>-42358</v>
      </c>
      <c r="L31" s="53">
        <f ca="1">+L92</f>
        <v>28569.573739349999</v>
      </c>
      <c r="M31" s="53">
        <f t="shared" ref="M31:P31" ca="1" si="14">+M92</f>
        <v>36504.851264668236</v>
      </c>
      <c r="N31" s="53">
        <f t="shared" ca="1" si="14"/>
        <v>46878.791895419003</v>
      </c>
      <c r="O31" s="53">
        <f t="shared" ca="1" si="14"/>
        <v>58018.25553535275</v>
      </c>
      <c r="P31" s="53">
        <f t="shared" ca="1" si="14"/>
        <v>69963.899304287552</v>
      </c>
      <c r="Q31" s="53">
        <f t="shared" ref="Q31:R31" ca="1" si="15">+Q92</f>
        <v>82758.590138979882</v>
      </c>
      <c r="R31" s="53">
        <f t="shared" ca="1" si="15"/>
        <v>96447.528237358012</v>
      </c>
      <c r="T31" s="47" t="s">
        <v>238</v>
      </c>
      <c r="U31" s="19"/>
      <c r="V31" s="2"/>
      <c r="W31" s="2"/>
    </row>
    <row r="32" spans="1:28" ht="16.2" x14ac:dyDescent="0.45">
      <c r="A32" s="2"/>
      <c r="B32" s="57" t="s">
        <v>188</v>
      </c>
      <c r="C32" s="57"/>
      <c r="D32" s="57"/>
      <c r="E32" s="57"/>
      <c r="F32" s="57"/>
      <c r="G32" s="194">
        <f>+SUM('Input Data'!E62:E64)</f>
        <v>37761</v>
      </c>
      <c r="H32" s="194">
        <f>+SUM('Input Data'!F62:F64)</f>
        <v>41079</v>
      </c>
      <c r="I32" s="194">
        <f>+SUM('Input Data'!G62:G64)</f>
        <v>49439</v>
      </c>
      <c r="J32" s="194">
        <f>+SUM('Input Data'!H62:H64)</f>
        <v>56884</v>
      </c>
      <c r="K32" s="194">
        <f>+SUM('Input Data'!I62:I64)</f>
        <v>63676</v>
      </c>
      <c r="L32" s="150"/>
      <c r="M32" s="150"/>
      <c r="N32" s="150"/>
      <c r="O32" s="150"/>
      <c r="P32" s="150"/>
      <c r="Q32" s="150"/>
      <c r="R32" s="150"/>
      <c r="S32" s="19"/>
      <c r="T32" s="19"/>
      <c r="U32" s="19"/>
      <c r="V32" s="2"/>
      <c r="W32" s="2"/>
    </row>
    <row r="33" spans="1:23" ht="16.2" x14ac:dyDescent="0.45">
      <c r="A33" s="2"/>
      <c r="B33" s="21" t="s">
        <v>100</v>
      </c>
      <c r="C33" s="19"/>
      <c r="D33" s="19"/>
      <c r="E33" s="19"/>
      <c r="F33" s="19"/>
      <c r="G33" s="151">
        <f>+SUM(G31:G32)</f>
        <v>16516</v>
      </c>
      <c r="H33" s="151">
        <f t="shared" ref="H33:K33" si="16">+SUM(H31:H32)</f>
        <v>15891</v>
      </c>
      <c r="I33" s="151">
        <f t="shared" si="16"/>
        <v>19503</v>
      </c>
      <c r="J33" s="151">
        <f t="shared" si="16"/>
        <v>19494</v>
      </c>
      <c r="K33" s="151">
        <f t="shared" si="16"/>
        <v>21318</v>
      </c>
      <c r="L33" s="151">
        <f t="shared" ref="L33:P33" ca="1" si="17">SUM(L31:L32)</f>
        <v>28569.573739349999</v>
      </c>
      <c r="M33" s="151">
        <f t="shared" ca="1" si="17"/>
        <v>36504.851264668236</v>
      </c>
      <c r="N33" s="151">
        <f t="shared" ca="1" si="17"/>
        <v>46878.791895419003</v>
      </c>
      <c r="O33" s="151">
        <f t="shared" ca="1" si="17"/>
        <v>58018.25553535275</v>
      </c>
      <c r="P33" s="151">
        <f t="shared" ca="1" si="17"/>
        <v>69963.899304287552</v>
      </c>
      <c r="Q33" s="151">
        <f t="shared" ref="Q33:R33" ca="1" si="18">SUM(Q31:Q32)</f>
        <v>82758.590138979882</v>
      </c>
      <c r="R33" s="151">
        <f t="shared" ca="1" si="18"/>
        <v>96447.528237358012</v>
      </c>
      <c r="S33" s="19"/>
      <c r="T33" s="19"/>
      <c r="U33" s="19"/>
      <c r="V33" s="2"/>
      <c r="W33" s="2"/>
    </row>
    <row r="34" spans="1:23" ht="16.2" x14ac:dyDescent="0.45">
      <c r="A34" s="2"/>
      <c r="B34" s="19" t="s">
        <v>137</v>
      </c>
      <c r="C34" s="19"/>
      <c r="D34" s="19"/>
      <c r="E34" s="19"/>
      <c r="F34" s="19"/>
      <c r="G34" s="192">
        <f>+'Input Data'!E52+'Input Data'!E55+'Input Data'!E49</f>
        <v>37789</v>
      </c>
      <c r="H34" s="192">
        <f>+'Input Data'!F52+'Input Data'!F55+'Input Data'!F49</f>
        <v>36993</v>
      </c>
      <c r="I34" s="192">
        <f>+'Input Data'!G52+'Input Data'!G55+'Input Data'!G49</f>
        <v>37878</v>
      </c>
      <c r="J34" s="192">
        <f>+'Input Data'!H52+'Input Data'!H55+'Input Data'!H49</f>
        <v>38409</v>
      </c>
      <c r="K34" s="192">
        <f>+'Input Data'!I52+'Input Data'!I55+'Input Data'!I49</f>
        <v>43330</v>
      </c>
      <c r="L34" s="53">
        <f>+L$72</f>
        <v>40907.766831577967</v>
      </c>
      <c r="M34" s="53">
        <f t="shared" ref="M34:R34" si="19">+M$72</f>
        <v>38315.977341366386</v>
      </c>
      <c r="N34" s="53">
        <f t="shared" si="19"/>
        <v>35542.762586839999</v>
      </c>
      <c r="O34" s="53">
        <f t="shared" si="19"/>
        <v>32575.422799496762</v>
      </c>
      <c r="P34" s="53">
        <f t="shared" si="19"/>
        <v>29400.3692270395</v>
      </c>
      <c r="Q34" s="53">
        <f t="shared" si="19"/>
        <v>26003.061904510228</v>
      </c>
      <c r="R34" s="53">
        <f t="shared" si="19"/>
        <v>22367.943069403907</v>
      </c>
      <c r="S34" s="19"/>
      <c r="T34" s="19"/>
      <c r="U34" s="19"/>
      <c r="V34" s="2"/>
      <c r="W34" s="2"/>
    </row>
    <row r="35" spans="1:23" ht="16.2" x14ac:dyDescent="0.45">
      <c r="A35" s="2"/>
      <c r="B35" s="19" t="s">
        <v>344</v>
      </c>
      <c r="C35" s="19"/>
      <c r="D35" s="19"/>
      <c r="E35" s="19"/>
      <c r="F35" s="19"/>
      <c r="G35" s="192">
        <f>+'Input Data'!E56</f>
        <v>10397</v>
      </c>
      <c r="H35" s="192">
        <f>+'Input Data'!F56</f>
        <v>8807</v>
      </c>
      <c r="I35" s="192">
        <f>+'Input Data'!G56</f>
        <v>8773</v>
      </c>
      <c r="J35" s="192">
        <f>+'Input Data'!H56</f>
        <v>8647</v>
      </c>
      <c r="K35" s="192">
        <f>+'Input Data'!I56</f>
        <v>10013</v>
      </c>
      <c r="L35" s="53">
        <f>+K35</f>
        <v>10013</v>
      </c>
      <c r="M35" s="53">
        <f t="shared" ref="M35:P35" si="20">+L35</f>
        <v>10013</v>
      </c>
      <c r="N35" s="53">
        <f t="shared" si="20"/>
        <v>10013</v>
      </c>
      <c r="O35" s="53">
        <f t="shared" si="20"/>
        <v>10013</v>
      </c>
      <c r="P35" s="53">
        <f t="shared" si="20"/>
        <v>10013</v>
      </c>
      <c r="Q35" s="53">
        <f t="shared" ref="Q35" si="21">+P35</f>
        <v>10013</v>
      </c>
      <c r="R35" s="53">
        <f t="shared" ref="R35" si="22">+Q35</f>
        <v>10013</v>
      </c>
      <c r="S35" s="19" t="s">
        <v>255</v>
      </c>
      <c r="T35" s="19"/>
      <c r="U35" s="19"/>
      <c r="V35" s="2"/>
      <c r="W35" s="2"/>
    </row>
    <row r="36" spans="1:23" ht="16.2" x14ac:dyDescent="0.45">
      <c r="A36" s="2"/>
      <c r="B36" s="112" t="s">
        <v>343</v>
      </c>
      <c r="C36" s="112"/>
      <c r="D36" s="112"/>
      <c r="E36" s="112"/>
      <c r="F36" s="112"/>
      <c r="G36" s="193">
        <f>+'Input Data'!E50</f>
        <v>8154</v>
      </c>
      <c r="H36" s="193">
        <f>+'Input Data'!F50</f>
        <v>8689</v>
      </c>
      <c r="I36" s="193">
        <f>+'Input Data'!G50</f>
        <v>7906</v>
      </c>
      <c r="J36" s="193">
        <f>+'Input Data'!H50</f>
        <v>7675</v>
      </c>
      <c r="K36" s="193">
        <f>+'Input Data'!I50</f>
        <v>8968</v>
      </c>
      <c r="L36" s="113">
        <f ca="1">+L$62</f>
        <v>9284.7287063013719</v>
      </c>
      <c r="M36" s="113">
        <f t="shared" ref="M36:R36" ca="1" si="23">+M$62</f>
        <v>9934.6597157424676</v>
      </c>
      <c r="N36" s="113">
        <f t="shared" ca="1" si="23"/>
        <v>9957.2384878237026</v>
      </c>
      <c r="O36" s="113">
        <f t="shared" ca="1" si="23"/>
        <v>10455.100412214886</v>
      </c>
      <c r="P36" s="113">
        <f t="shared" ca="1" si="23"/>
        <v>10977.85543282563</v>
      </c>
      <c r="Q36" s="113">
        <f t="shared" ca="1" si="23"/>
        <v>11526.748204466914</v>
      </c>
      <c r="R36" s="113">
        <f t="shared" ca="1" si="23"/>
        <v>12103.085614690259</v>
      </c>
      <c r="S36" s="19"/>
      <c r="T36" s="19"/>
      <c r="U36" s="19"/>
      <c r="V36" s="2"/>
      <c r="W36" s="2"/>
    </row>
    <row r="37" spans="1:23" ht="16.2" x14ac:dyDescent="0.45">
      <c r="A37" s="2"/>
      <c r="B37" s="19" t="s">
        <v>264</v>
      </c>
      <c r="C37" s="19"/>
      <c r="D37" s="19"/>
      <c r="E37" s="19"/>
      <c r="F37" s="19"/>
      <c r="G37" s="192">
        <f>+'Input Data'!E51+'Input Data'!E53</f>
        <v>9937</v>
      </c>
      <c r="H37" s="192">
        <f>+'Input Data'!F51+'Input Data'!F53</f>
        <v>11563</v>
      </c>
      <c r="I37" s="192">
        <f>+'Input Data'!G51+'Input Data'!G53</f>
        <v>13416</v>
      </c>
      <c r="J37" s="192">
        <f>+'Input Data'!H51+'Input Data'!H53</f>
        <v>13539</v>
      </c>
      <c r="K37" s="192">
        <f>+'Input Data'!I51+'Input Data'!I53</f>
        <v>14956</v>
      </c>
      <c r="L37" s="53">
        <f>+K37</f>
        <v>14956</v>
      </c>
      <c r="M37" s="53">
        <f t="shared" ref="M37:P37" si="24">+L37</f>
        <v>14956</v>
      </c>
      <c r="N37" s="53">
        <f t="shared" si="24"/>
        <v>14956</v>
      </c>
      <c r="O37" s="53">
        <f t="shared" si="24"/>
        <v>14956</v>
      </c>
      <c r="P37" s="53">
        <f t="shared" si="24"/>
        <v>14956</v>
      </c>
      <c r="Q37" s="53">
        <f t="shared" ref="Q37" si="25">+P37</f>
        <v>14956</v>
      </c>
      <c r="R37" s="53">
        <f t="shared" ref="R37" si="26">+Q37</f>
        <v>14956</v>
      </c>
      <c r="S37" s="19" t="s">
        <v>255</v>
      </c>
      <c r="T37" s="19"/>
      <c r="U37" s="19"/>
      <c r="V37" s="2"/>
      <c r="W37" s="2"/>
    </row>
    <row r="38" spans="1:23" ht="14.4" customHeight="1" x14ac:dyDescent="0.45">
      <c r="A38" s="2"/>
      <c r="B38" s="114" t="s">
        <v>97</v>
      </c>
      <c r="C38" s="23"/>
      <c r="D38" s="23"/>
      <c r="E38" s="23"/>
      <c r="F38" s="23"/>
      <c r="G38" s="115">
        <f t="shared" ref="G38:R38" si="27">+SUM(G34:G35,G36:G37)</f>
        <v>66277</v>
      </c>
      <c r="H38" s="115">
        <f t="shared" si="27"/>
        <v>66052</v>
      </c>
      <c r="I38" s="115">
        <f t="shared" si="27"/>
        <v>67973</v>
      </c>
      <c r="J38" s="115">
        <f t="shared" si="27"/>
        <v>68270</v>
      </c>
      <c r="K38" s="115">
        <f t="shared" si="27"/>
        <v>77267</v>
      </c>
      <c r="L38" s="115">
        <f t="shared" ca="1" si="27"/>
        <v>75161.495537879338</v>
      </c>
      <c r="M38" s="115">
        <f t="shared" ca="1" si="27"/>
        <v>73219.637057108863</v>
      </c>
      <c r="N38" s="115">
        <f t="shared" ca="1" si="27"/>
        <v>70469.001074663698</v>
      </c>
      <c r="O38" s="115">
        <f t="shared" ca="1" si="27"/>
        <v>67999.523211711654</v>
      </c>
      <c r="P38" s="115">
        <f t="shared" ca="1" si="27"/>
        <v>65347.224659865125</v>
      </c>
      <c r="Q38" s="115">
        <f t="shared" ca="1" si="27"/>
        <v>62498.810108977144</v>
      </c>
      <c r="R38" s="115">
        <f t="shared" ca="1" si="27"/>
        <v>59440.02868409417</v>
      </c>
      <c r="S38" s="19"/>
      <c r="T38" s="19"/>
      <c r="U38" s="19"/>
      <c r="V38" s="2"/>
      <c r="W38" s="2"/>
    </row>
    <row r="39" spans="1:23" s="5" customFormat="1" ht="16.8" thickBot="1" x14ac:dyDescent="0.5">
      <c r="A39" s="1"/>
      <c r="B39" s="58" t="s">
        <v>98</v>
      </c>
      <c r="C39" s="58"/>
      <c r="D39" s="58"/>
      <c r="E39" s="58"/>
      <c r="F39" s="58"/>
      <c r="G39" s="60">
        <f t="shared" ref="G39:K39" si="28">+G33+G38</f>
        <v>82793</v>
      </c>
      <c r="H39" s="60">
        <f t="shared" si="28"/>
        <v>81943</v>
      </c>
      <c r="I39" s="60">
        <f t="shared" si="28"/>
        <v>87476</v>
      </c>
      <c r="J39" s="60">
        <f t="shared" si="28"/>
        <v>87764</v>
      </c>
      <c r="K39" s="60">
        <f t="shared" si="28"/>
        <v>98585</v>
      </c>
      <c r="L39" s="60">
        <f t="shared" ref="L39" ca="1" si="29">+L33+L38</f>
        <v>103731.06927722934</v>
      </c>
      <c r="M39" s="60">
        <f t="shared" ref="M39" ca="1" si="30">+M33+M38</f>
        <v>109724.4883217771</v>
      </c>
      <c r="N39" s="60">
        <f t="shared" ref="N39" ca="1" si="31">+N33+N38</f>
        <v>117347.79297008269</v>
      </c>
      <c r="O39" s="60">
        <f t="shared" ref="O39" ca="1" si="32">+O33+O38</f>
        <v>126017.77874706441</v>
      </c>
      <c r="P39" s="60">
        <f t="shared" ref="P39" ca="1" si="33">+P33+P38</f>
        <v>135311.12396415268</v>
      </c>
      <c r="Q39" s="60">
        <f t="shared" ref="Q39" ca="1" si="34">+Q33+Q38</f>
        <v>145257.40024795703</v>
      </c>
      <c r="R39" s="60">
        <f t="shared" ref="R39" ca="1" si="35">+R33+R38</f>
        <v>155887.55692145217</v>
      </c>
      <c r="S39" s="21"/>
      <c r="T39" s="21"/>
      <c r="U39" s="21"/>
      <c r="V39" s="1"/>
      <c r="W39" s="1"/>
    </row>
    <row r="40" spans="1:23" ht="16.2" x14ac:dyDescent="0.45">
      <c r="A40" s="2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2"/>
      <c r="W40" s="2"/>
    </row>
    <row r="41" spans="1:23" ht="16.2" x14ac:dyDescent="0.45">
      <c r="A41" s="2"/>
      <c r="B41" s="47" t="s">
        <v>80</v>
      </c>
      <c r="C41" s="47"/>
      <c r="D41" s="47"/>
      <c r="E41" s="47"/>
      <c r="F41" s="47"/>
      <c r="G41" s="183" t="str">
        <f t="shared" ref="G41:R41" si="36">IF(G28=G39,"OK",G28-G39)</f>
        <v>OK</v>
      </c>
      <c r="H41" s="183" t="str">
        <f t="shared" si="36"/>
        <v>OK</v>
      </c>
      <c r="I41" s="183" t="str">
        <f t="shared" si="36"/>
        <v>OK</v>
      </c>
      <c r="J41" s="183" t="str">
        <f t="shared" si="36"/>
        <v>OK</v>
      </c>
      <c r="K41" s="183" t="str">
        <f t="shared" si="36"/>
        <v>OK</v>
      </c>
      <c r="L41" s="183">
        <f t="shared" ca="1" si="36"/>
        <v>868.91482520548743</v>
      </c>
      <c r="M41" s="183">
        <f t="shared" ca="1" si="36"/>
        <v>3468.6388629698777</v>
      </c>
      <c r="N41" s="183">
        <f t="shared" ca="1" si="36"/>
        <v>3558.9539512948249</v>
      </c>
      <c r="O41" s="183">
        <f t="shared" ca="1" si="36"/>
        <v>5550.4016488595516</v>
      </c>
      <c r="P41" s="183">
        <f t="shared" ca="1" si="36"/>
        <v>7641.4217313025438</v>
      </c>
      <c r="Q41" s="183">
        <f t="shared" ca="1" si="36"/>
        <v>9836.9928178676637</v>
      </c>
      <c r="R41" s="183">
        <f t="shared" ca="1" si="36"/>
        <v>12142.342458761064</v>
      </c>
      <c r="S41" s="19"/>
      <c r="T41" s="47" t="s">
        <v>239</v>
      </c>
      <c r="U41" s="19"/>
      <c r="V41" s="2"/>
      <c r="W41" s="2"/>
    </row>
    <row r="42" spans="1:23" ht="16.2" x14ac:dyDescent="0.45">
      <c r="A42" s="2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27"/>
      <c r="T42" s="19"/>
      <c r="U42" s="19"/>
      <c r="V42" s="2"/>
      <c r="W42" s="2"/>
    </row>
    <row r="43" spans="1:23" ht="16.2" x14ac:dyDescent="0.45">
      <c r="A43" s="2"/>
      <c r="B43" s="45" t="s">
        <v>223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27"/>
      <c r="T43" s="19"/>
      <c r="U43" s="19"/>
      <c r="V43" s="2"/>
      <c r="W43" s="2"/>
    </row>
    <row r="44" spans="1:23" ht="16.2" outlineLevel="1" x14ac:dyDescent="0.45">
      <c r="A44" s="2"/>
      <c r="B44" s="21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27"/>
      <c r="T44" s="19"/>
      <c r="U44" s="19"/>
      <c r="V44" s="2"/>
      <c r="W44" s="2"/>
    </row>
    <row r="45" spans="1:23" ht="16.2" outlineLevel="1" x14ac:dyDescent="0.45">
      <c r="A45" s="2"/>
      <c r="B45" s="21" t="s">
        <v>224</v>
      </c>
      <c r="C45" s="19"/>
      <c r="D45" s="19"/>
      <c r="E45" s="19"/>
      <c r="F45" s="19"/>
      <c r="G45" s="56">
        <f t="shared" ref="G45:R45" si="37">+G18</f>
        <v>44561</v>
      </c>
      <c r="H45" s="56">
        <f t="shared" si="37"/>
        <v>44926</v>
      </c>
      <c r="I45" s="56">
        <f t="shared" si="37"/>
        <v>45291</v>
      </c>
      <c r="J45" s="56">
        <f t="shared" si="37"/>
        <v>45657</v>
      </c>
      <c r="K45" s="56">
        <f t="shared" si="37"/>
        <v>46022</v>
      </c>
      <c r="L45" s="109">
        <f t="shared" si="37"/>
        <v>46387</v>
      </c>
      <c r="M45" s="109">
        <f t="shared" si="37"/>
        <v>46752</v>
      </c>
      <c r="N45" s="109">
        <f t="shared" si="37"/>
        <v>47118</v>
      </c>
      <c r="O45" s="109">
        <f t="shared" si="37"/>
        <v>47483</v>
      </c>
      <c r="P45" s="109">
        <f t="shared" si="37"/>
        <v>47848</v>
      </c>
      <c r="Q45" s="109">
        <f t="shared" si="37"/>
        <v>48213</v>
      </c>
      <c r="R45" s="109">
        <f t="shared" si="37"/>
        <v>48579</v>
      </c>
      <c r="S45" s="19"/>
      <c r="T45" s="19"/>
      <c r="U45" s="19"/>
      <c r="V45" s="2"/>
      <c r="W45" s="2"/>
    </row>
    <row r="46" spans="1:23" ht="16.2" outlineLevel="1" x14ac:dyDescent="0.45">
      <c r="A46" s="2"/>
      <c r="B46" s="19" t="s">
        <v>205</v>
      </c>
      <c r="C46" s="19"/>
      <c r="D46" s="19"/>
      <c r="E46" s="19"/>
      <c r="F46" s="19"/>
      <c r="G46" s="19"/>
      <c r="H46" s="53">
        <f>+G49</f>
        <v>12090</v>
      </c>
      <c r="I46" s="53">
        <f t="shared" ref="I46:K46" si="38">+H49</f>
        <v>12028</v>
      </c>
      <c r="J46" s="53">
        <f t="shared" si="38"/>
        <v>12680</v>
      </c>
      <c r="K46" s="53">
        <f t="shared" si="38"/>
        <v>13361</v>
      </c>
      <c r="L46" s="53">
        <f>K49</f>
        <v>15140</v>
      </c>
      <c r="M46" s="53">
        <f ca="1">L49</f>
        <v>17108.2</v>
      </c>
      <c r="N46" s="53">
        <f t="shared" ref="N46:P46" ca="1" si="39">M49</f>
        <v>18049.151000000002</v>
      </c>
      <c r="O46" s="53">
        <f t="shared" ca="1" si="39"/>
        <v>19041.854305000001</v>
      </c>
      <c r="P46" s="53">
        <f t="shared" ca="1" si="39"/>
        <v>20089.156291775002</v>
      </c>
      <c r="Q46" s="53">
        <f t="shared" ref="Q46" ca="1" si="40">P49</f>
        <v>21194.059887822626</v>
      </c>
      <c r="R46" s="53">
        <f t="shared" ref="R46" ca="1" si="41">Q49</f>
        <v>22359.733181652875</v>
      </c>
      <c r="S46" s="19"/>
      <c r="T46" s="19"/>
      <c r="U46" s="19"/>
      <c r="V46" s="2"/>
      <c r="W46" s="2"/>
    </row>
    <row r="47" spans="1:23" ht="16.2" outlineLevel="1" x14ac:dyDescent="0.45">
      <c r="A47" s="2"/>
      <c r="B47" s="19" t="s">
        <v>182</v>
      </c>
      <c r="D47" s="19"/>
      <c r="E47" s="19"/>
      <c r="F47" s="19"/>
      <c r="G47" s="19"/>
      <c r="H47" s="19">
        <f>+'P&amp;L'!H32</f>
        <v>-2219</v>
      </c>
      <c r="I47" s="19">
        <f>+'P&amp;L'!I32</f>
        <v>-2144</v>
      </c>
      <c r="J47" s="19">
        <f>+'P&amp;L'!J32</f>
        <v>-2153</v>
      </c>
      <c r="K47" s="19">
        <f>+'P&amp;L'!K32</f>
        <v>-2262</v>
      </c>
      <c r="L47" s="53">
        <f ca="1">+-L46*L51</f>
        <v>-2649.5</v>
      </c>
      <c r="M47" s="53">
        <f t="shared" ref="M47:P47" ca="1" si="42">+-M46*M51</f>
        <v>-2993.9349999999999</v>
      </c>
      <c r="N47" s="53">
        <f t="shared" ca="1" si="42"/>
        <v>-3158.6014250000003</v>
      </c>
      <c r="O47" s="53">
        <f t="shared" ca="1" si="42"/>
        <v>-3332.3245033749999</v>
      </c>
      <c r="P47" s="53">
        <f t="shared" ca="1" si="42"/>
        <v>-3515.6023510606251</v>
      </c>
      <c r="Q47" s="53">
        <f t="shared" ref="Q47:R47" ca="1" si="43">+-Q46*Q51</f>
        <v>-3708.9604803689595</v>
      </c>
      <c r="R47" s="53">
        <f t="shared" ca="1" si="43"/>
        <v>-3912.953306789253</v>
      </c>
      <c r="S47" s="19"/>
      <c r="T47" s="19"/>
      <c r="U47" s="19"/>
      <c r="V47" s="2"/>
      <c r="W47" s="2"/>
    </row>
    <row r="48" spans="1:23" ht="16.2" outlineLevel="1" x14ac:dyDescent="0.45">
      <c r="A48" s="2"/>
      <c r="B48" s="19" t="s">
        <v>90</v>
      </c>
      <c r="C48" s="19"/>
      <c r="D48" s="19"/>
      <c r="E48" s="19"/>
      <c r="F48" s="19"/>
      <c r="G48" s="19"/>
      <c r="H48" s="53">
        <f>+H49-H46-H47</f>
        <v>2157</v>
      </c>
      <c r="I48" s="53">
        <f t="shared" ref="I48:K48" si="44">+I49-I46-I47</f>
        <v>2796</v>
      </c>
      <c r="J48" s="53">
        <f t="shared" si="44"/>
        <v>2834</v>
      </c>
      <c r="K48" s="53">
        <f t="shared" si="44"/>
        <v>4041</v>
      </c>
      <c r="L48" s="53">
        <f ca="1">+L46*L52</f>
        <v>4617.7</v>
      </c>
      <c r="M48" s="53">
        <f t="shared" ref="M48:P48" ca="1" si="45">+M46*M52</f>
        <v>3934.8860000000004</v>
      </c>
      <c r="N48" s="53">
        <f t="shared" ca="1" si="45"/>
        <v>4151.3047300000007</v>
      </c>
      <c r="O48" s="53">
        <f t="shared" ca="1" si="45"/>
        <v>4379.6264901500008</v>
      </c>
      <c r="P48" s="53">
        <f t="shared" ca="1" si="45"/>
        <v>4620.5059471082504</v>
      </c>
      <c r="Q48" s="53">
        <f t="shared" ref="Q48:R48" ca="1" si="46">+Q46*Q52</f>
        <v>4874.6337741992047</v>
      </c>
      <c r="R48" s="53">
        <f t="shared" ca="1" si="46"/>
        <v>5142.7386317801611</v>
      </c>
      <c r="S48" s="19"/>
      <c r="T48" s="19"/>
      <c r="U48" s="19"/>
      <c r="V48" s="2"/>
      <c r="W48" s="2"/>
    </row>
    <row r="49" spans="1:37" s="5" customFormat="1" ht="16.2" outlineLevel="1" x14ac:dyDescent="0.45">
      <c r="A49" s="1"/>
      <c r="B49" s="158" t="s">
        <v>202</v>
      </c>
      <c r="C49" s="158"/>
      <c r="D49" s="158"/>
      <c r="E49" s="158"/>
      <c r="F49" s="158"/>
      <c r="G49" s="159">
        <f>+G$21</f>
        <v>12090</v>
      </c>
      <c r="H49" s="159">
        <f t="shared" ref="H49:K49" si="47">+H$21</f>
        <v>12028</v>
      </c>
      <c r="I49" s="159">
        <f t="shared" si="47"/>
        <v>12680</v>
      </c>
      <c r="J49" s="159">
        <f t="shared" si="47"/>
        <v>13361</v>
      </c>
      <c r="K49" s="159">
        <f t="shared" si="47"/>
        <v>15140</v>
      </c>
      <c r="L49" s="159">
        <f ca="1">SUM(L46:L48)</f>
        <v>17108.2</v>
      </c>
      <c r="M49" s="159">
        <f ca="1">SUM(M46:M48)</f>
        <v>18049.151000000002</v>
      </c>
      <c r="N49" s="159">
        <f ca="1">SUM(N46:N48)</f>
        <v>19041.854305000001</v>
      </c>
      <c r="O49" s="159">
        <f ca="1">SUM(O46:O48)</f>
        <v>20089.156291775002</v>
      </c>
      <c r="P49" s="159">
        <f ca="1">SUM(P46:P48)</f>
        <v>21194.059887822626</v>
      </c>
      <c r="Q49" s="159">
        <f t="shared" ref="Q49:R49" ca="1" si="48">SUM(Q46:Q48)</f>
        <v>22359.733181652875</v>
      </c>
      <c r="R49" s="159">
        <f t="shared" ca="1" si="48"/>
        <v>23589.518506643784</v>
      </c>
      <c r="S49" s="21"/>
      <c r="T49" s="21"/>
      <c r="U49" s="21"/>
      <c r="V49" s="1"/>
      <c r="W49" s="1"/>
    </row>
    <row r="50" spans="1:37" ht="16.2" outlineLevel="1" x14ac:dyDescent="0.45">
      <c r="A50" s="2"/>
      <c r="B50" s="19"/>
      <c r="C50" s="19"/>
      <c r="D50" s="19"/>
      <c r="E50" s="19"/>
      <c r="F50" s="19"/>
      <c r="G50" s="19"/>
      <c r="H50" s="19"/>
      <c r="I50" s="53"/>
      <c r="J50" s="53"/>
      <c r="K50" s="53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2"/>
      <c r="W50" s="2"/>
    </row>
    <row r="51" spans="1:37" ht="16.2" outlineLevel="1" x14ac:dyDescent="0.45">
      <c r="A51" s="2"/>
      <c r="B51" s="165" t="s">
        <v>200</v>
      </c>
      <c r="C51" s="165"/>
      <c r="D51" s="165"/>
      <c r="E51" s="165"/>
      <c r="F51" s="165"/>
      <c r="G51" s="165"/>
      <c r="H51" s="166">
        <f>+H47/H46*-1</f>
        <v>0.1835401157981803</v>
      </c>
      <c r="I51" s="166">
        <f t="shared" ref="I51:J51" si="49">+I47/I46*-1</f>
        <v>0.17825074825407383</v>
      </c>
      <c r="J51" s="166">
        <f t="shared" si="49"/>
        <v>0.169794952681388</v>
      </c>
      <c r="K51" s="166">
        <f>+K47/K46*-1</f>
        <v>0.16929870518673751</v>
      </c>
      <c r="L51" s="173">
        <f ca="1">+'P&amp;L'!$L16</f>
        <v>0.17499999999999999</v>
      </c>
      <c r="M51" s="173">
        <f ca="1">+'P&amp;L'!$L16</f>
        <v>0.17499999999999999</v>
      </c>
      <c r="N51" s="173">
        <f ca="1">+'P&amp;L'!$L16</f>
        <v>0.17499999999999999</v>
      </c>
      <c r="O51" s="173">
        <f ca="1">+'P&amp;L'!$L16</f>
        <v>0.17499999999999999</v>
      </c>
      <c r="P51" s="173">
        <f ca="1">+'P&amp;L'!$L16</f>
        <v>0.17499999999999999</v>
      </c>
      <c r="Q51" s="173">
        <f ca="1">+'P&amp;L'!$L16</f>
        <v>0.17499999999999999</v>
      </c>
      <c r="R51" s="173">
        <f ca="1">+'P&amp;L'!$L16</f>
        <v>0.17499999999999999</v>
      </c>
      <c r="S51" s="19"/>
      <c r="T51" s="19"/>
      <c r="U51" s="19"/>
      <c r="V51" s="2"/>
      <c r="W51" s="2"/>
    </row>
    <row r="52" spans="1:37" ht="16.2" outlineLevel="1" x14ac:dyDescent="0.45">
      <c r="A52" s="2"/>
      <c r="B52" s="165" t="s">
        <v>201</v>
      </c>
      <c r="C52" s="165"/>
      <c r="D52" s="165"/>
      <c r="E52" s="165"/>
      <c r="F52" s="165"/>
      <c r="G52" s="165"/>
      <c r="H52" s="166">
        <f>+H48/H46</f>
        <v>0.17841191066997519</v>
      </c>
      <c r="I52" s="166">
        <f t="shared" ref="I52:K52" si="50">+I48/I46</f>
        <v>0.23245759893581644</v>
      </c>
      <c r="J52" s="166">
        <f t="shared" si="50"/>
        <v>0.22350157728706624</v>
      </c>
      <c r="K52" s="166">
        <f t="shared" si="50"/>
        <v>0.30244742160017962</v>
      </c>
      <c r="L52" s="173">
        <f ca="1">+L$14</f>
        <v>0.30499999999999999</v>
      </c>
      <c r="M52" s="173">
        <f t="shared" ref="M52:R52" ca="1" si="51">+M$14</f>
        <v>0.23</v>
      </c>
      <c r="N52" s="173">
        <f t="shared" ca="1" si="51"/>
        <v>0.23</v>
      </c>
      <c r="O52" s="173">
        <f t="shared" ca="1" si="51"/>
        <v>0.23</v>
      </c>
      <c r="P52" s="173">
        <f t="shared" ca="1" si="51"/>
        <v>0.23</v>
      </c>
      <c r="Q52" s="173">
        <f t="shared" ca="1" si="51"/>
        <v>0.23</v>
      </c>
      <c r="R52" s="173">
        <f t="shared" ca="1" si="51"/>
        <v>0.23</v>
      </c>
      <c r="S52" s="19"/>
      <c r="T52" s="19"/>
      <c r="U52" s="19"/>
      <c r="V52" s="2"/>
      <c r="W52" s="2"/>
    </row>
    <row r="53" spans="1:37" ht="16.2" outlineLevel="1" x14ac:dyDescent="0.45">
      <c r="A53" s="2"/>
      <c r="B53" s="19"/>
      <c r="C53" s="19"/>
      <c r="D53" s="19"/>
      <c r="E53" s="19"/>
      <c r="F53" s="19"/>
      <c r="G53" s="19"/>
      <c r="H53" s="19"/>
      <c r="I53" s="53"/>
      <c r="J53" s="53"/>
      <c r="K53" s="53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2"/>
      <c r="W53" s="2"/>
    </row>
    <row r="54" spans="1:37" ht="16.2" x14ac:dyDescent="0.45">
      <c r="A54" s="2"/>
      <c r="S54" s="19"/>
      <c r="T54" s="19"/>
      <c r="U54" s="19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</row>
    <row r="55" spans="1:37" ht="16.2" x14ac:dyDescent="0.45">
      <c r="A55" s="2"/>
      <c r="B55" s="45" t="s">
        <v>81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19"/>
      <c r="T55" s="19"/>
      <c r="U55" s="19"/>
      <c r="V55" s="2"/>
      <c r="W55" s="2"/>
      <c r="X55" s="2"/>
      <c r="Y55" s="2"/>
      <c r="Z55" s="2"/>
      <c r="AA55" s="2"/>
      <c r="AB55" s="2"/>
    </row>
    <row r="56" spans="1:37" ht="16.2" x14ac:dyDescent="0.45">
      <c r="A56" s="2"/>
      <c r="S56" s="19"/>
      <c r="T56" s="19"/>
      <c r="U56" s="19"/>
      <c r="V56" s="2"/>
      <c r="W56" s="2"/>
      <c r="X56" s="2"/>
      <c r="Y56" s="2"/>
      <c r="Z56" s="2"/>
      <c r="AA56" s="2"/>
      <c r="AB56" s="2"/>
    </row>
    <row r="57" spans="1:37" ht="16.2" x14ac:dyDescent="0.45">
      <c r="A57" s="2"/>
      <c r="B57" s="19"/>
      <c r="C57" s="19"/>
      <c r="D57" s="19"/>
      <c r="E57" s="19"/>
      <c r="F57" s="19"/>
      <c r="G57" s="56">
        <f t="shared" ref="G57:R57" si="52">+G18</f>
        <v>44561</v>
      </c>
      <c r="H57" s="56">
        <f t="shared" si="52"/>
        <v>44926</v>
      </c>
      <c r="I57" s="56">
        <f t="shared" si="52"/>
        <v>45291</v>
      </c>
      <c r="J57" s="56">
        <f t="shared" si="52"/>
        <v>45657</v>
      </c>
      <c r="K57" s="56">
        <f t="shared" si="52"/>
        <v>46022</v>
      </c>
      <c r="L57" s="109">
        <f t="shared" si="52"/>
        <v>46387</v>
      </c>
      <c r="M57" s="109">
        <f t="shared" si="52"/>
        <v>46752</v>
      </c>
      <c r="N57" s="109">
        <f t="shared" si="52"/>
        <v>47118</v>
      </c>
      <c r="O57" s="109">
        <f t="shared" si="52"/>
        <v>47483</v>
      </c>
      <c r="P57" s="109">
        <f t="shared" si="52"/>
        <v>47848</v>
      </c>
      <c r="Q57" s="109">
        <f t="shared" si="52"/>
        <v>48213</v>
      </c>
      <c r="R57" s="109">
        <f t="shared" si="52"/>
        <v>48579</v>
      </c>
      <c r="S57" s="19"/>
      <c r="T57" s="19"/>
      <c r="U57" s="19"/>
      <c r="V57" s="2"/>
      <c r="W57" s="2"/>
      <c r="X57" s="2"/>
      <c r="Y57" s="2"/>
      <c r="Z57" s="2"/>
      <c r="AA57" s="2"/>
      <c r="AB57" s="2"/>
    </row>
    <row r="58" spans="1:37" ht="16.2" x14ac:dyDescent="0.45">
      <c r="A58" s="2"/>
      <c r="S58" s="19"/>
      <c r="T58" s="19"/>
      <c r="U58" s="19"/>
      <c r="V58" s="2"/>
      <c r="W58" s="2"/>
      <c r="X58" s="2"/>
      <c r="Y58" s="2"/>
      <c r="Z58" s="2"/>
      <c r="AA58" s="2"/>
      <c r="AB58" s="2"/>
    </row>
    <row r="59" spans="1:37" ht="16.2" x14ac:dyDescent="0.45">
      <c r="A59" s="2"/>
      <c r="B59" s="21" t="s">
        <v>81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27"/>
      <c r="U59" s="19"/>
      <c r="V59" s="2"/>
      <c r="W59" s="2"/>
      <c r="X59" s="2"/>
      <c r="Y59" s="2"/>
      <c r="Z59" s="2"/>
      <c r="AA59" s="2"/>
      <c r="AB59" s="2"/>
    </row>
    <row r="60" spans="1:37" ht="16.2" x14ac:dyDescent="0.45">
      <c r="A60" s="2"/>
      <c r="B60" s="19" t="s">
        <v>146</v>
      </c>
      <c r="C60" s="19"/>
      <c r="D60" s="19"/>
      <c r="E60" s="19"/>
      <c r="F60" s="19"/>
      <c r="G60" s="53">
        <f>+G$25</f>
        <v>17375</v>
      </c>
      <c r="H60" s="53">
        <f t="shared" ref="H60:K60" si="53">+H$25</f>
        <v>17869</v>
      </c>
      <c r="I60" s="53">
        <f t="shared" si="53"/>
        <v>18820</v>
      </c>
      <c r="J60" s="53">
        <f t="shared" si="53"/>
        <v>18847</v>
      </c>
      <c r="K60" s="53">
        <f t="shared" si="53"/>
        <v>21569</v>
      </c>
      <c r="L60" s="53">
        <f ca="1">+L$11*'P&amp;L'!L$24/'P&amp;L'!L$8</f>
        <v>21002.587342465755</v>
      </c>
      <c r="M60" s="53">
        <f ca="1">+M$11*'P&amp;L'!M$24/'P&amp;L'!M$8</f>
        <v>22472.76845643836</v>
      </c>
      <c r="N60" s="53">
        <f ca="1">+N$11*'P&amp;L'!N$24/'P&amp;L'!N$8</f>
        <v>23596.406879260277</v>
      </c>
      <c r="O60" s="53">
        <f ca="1">+O$11*'P&amp;L'!O$24/'P&amp;L'!O$8</f>
        <v>24776.227223223294</v>
      </c>
      <c r="P60" s="53">
        <f ca="1">+P$11*'P&amp;L'!P$24/'P&amp;L'!P$8</f>
        <v>26015.03858438446</v>
      </c>
      <c r="Q60" s="53">
        <f ca="1">+Q$11*'P&amp;L'!Q$24/'P&amp;L'!Q$8</f>
        <v>27315.790513603686</v>
      </c>
      <c r="R60" s="53">
        <f ca="1">+R$11*'P&amp;L'!R$24/'P&amp;L'!R$8</f>
        <v>28681.580039283868</v>
      </c>
      <c r="S60" s="19"/>
      <c r="T60" s="27"/>
      <c r="U60" s="19"/>
      <c r="V60" s="2"/>
      <c r="W60" s="2"/>
      <c r="X60" s="2"/>
      <c r="Y60" s="2"/>
      <c r="Z60" s="2"/>
      <c r="AA60" s="2"/>
      <c r="AB60" s="2"/>
    </row>
    <row r="61" spans="1:37" ht="16.2" x14ac:dyDescent="0.45">
      <c r="A61" s="2"/>
      <c r="B61" s="19" t="s">
        <v>87</v>
      </c>
      <c r="C61" s="19"/>
      <c r="D61" s="19"/>
      <c r="E61" s="19"/>
      <c r="F61" s="19"/>
      <c r="G61" s="53">
        <f>+G$24</f>
        <v>14038</v>
      </c>
      <c r="H61" s="53">
        <f t="shared" ref="H61:K61" si="54">+H$24</f>
        <v>16270</v>
      </c>
      <c r="I61" s="53">
        <f t="shared" si="54"/>
        <v>16565</v>
      </c>
      <c r="J61" s="53">
        <f t="shared" si="54"/>
        <v>16827</v>
      </c>
      <c r="K61" s="53">
        <f t="shared" si="54"/>
        <v>18135</v>
      </c>
      <c r="L61" s="53">
        <f ca="1">+L12*'P&amp;L'!L25/'P&amp;L'!L8*-1</f>
        <v>18569.457412602744</v>
      </c>
      <c r="M61" s="53">
        <f ca="1">+M12*'P&amp;L'!M25/'P&amp;L'!M8*-1</f>
        <v>19869.319431484935</v>
      </c>
      <c r="N61" s="53">
        <f ca="1">+N12*'P&amp;L'!N25/'P&amp;L'!N8*-1</f>
        <v>19914.476975647405</v>
      </c>
      <c r="O61" s="53">
        <f ca="1">+O12*'P&amp;L'!O25/'P&amp;L'!O8*-1</f>
        <v>20910.200824429772</v>
      </c>
      <c r="P61" s="53">
        <f ca="1">+P12*'P&amp;L'!P25/'P&amp;L'!P8*-1</f>
        <v>21955.710865651261</v>
      </c>
      <c r="Q61" s="53">
        <f ca="1">+Q12*'P&amp;L'!Q25/'P&amp;L'!Q8*-1</f>
        <v>23053.496408933828</v>
      </c>
      <c r="R61" s="53">
        <f ca="1">+R12*'P&amp;L'!R25/'P&amp;L'!R8*-1</f>
        <v>24206.171229380518</v>
      </c>
      <c r="S61" s="19"/>
      <c r="T61" s="27"/>
      <c r="U61" s="19"/>
      <c r="V61" s="2"/>
      <c r="W61" s="2"/>
      <c r="X61" s="2"/>
      <c r="Y61" s="2"/>
      <c r="Z61" s="2"/>
      <c r="AA61" s="2"/>
      <c r="AB61" s="2"/>
    </row>
    <row r="62" spans="1:37" ht="16.2" x14ac:dyDescent="0.45">
      <c r="A62" s="2"/>
      <c r="B62" s="19" t="s">
        <v>147</v>
      </c>
      <c r="C62" s="19"/>
      <c r="D62" s="19"/>
      <c r="E62" s="19"/>
      <c r="F62" s="19"/>
      <c r="G62" s="53">
        <f>+G$36</f>
        <v>8154</v>
      </c>
      <c r="H62" s="53">
        <f t="shared" ref="H62:K62" si="55">+H$36</f>
        <v>8689</v>
      </c>
      <c r="I62" s="53">
        <f t="shared" si="55"/>
        <v>7906</v>
      </c>
      <c r="J62" s="53">
        <f t="shared" si="55"/>
        <v>7675</v>
      </c>
      <c r="K62" s="53">
        <f t="shared" si="55"/>
        <v>8968</v>
      </c>
      <c r="L62" s="53">
        <f ca="1">+L$13*'P&amp;L'!L$25/'P&amp;L'!L$8*-1</f>
        <v>9284.7287063013719</v>
      </c>
      <c r="M62" s="53">
        <f ca="1">+M$13*'P&amp;L'!M$25/'P&amp;L'!M$8*-1</f>
        <v>9934.6597157424676</v>
      </c>
      <c r="N62" s="53">
        <f ca="1">+N$13*'P&amp;L'!N$25/'P&amp;L'!N$8*-1</f>
        <v>9957.2384878237026</v>
      </c>
      <c r="O62" s="53">
        <f ca="1">+O$13*'P&amp;L'!O$25/'P&amp;L'!O$8*-1</f>
        <v>10455.100412214886</v>
      </c>
      <c r="P62" s="53">
        <f ca="1">+P$13*'P&amp;L'!P$25/'P&amp;L'!P$8*-1</f>
        <v>10977.85543282563</v>
      </c>
      <c r="Q62" s="53">
        <f ca="1">+Q$13*'P&amp;L'!Q$25/'P&amp;L'!Q$8*-1</f>
        <v>11526.748204466914</v>
      </c>
      <c r="R62" s="53">
        <f ca="1">+R$13*'P&amp;L'!R$25/'P&amp;L'!R$8*-1</f>
        <v>12103.085614690259</v>
      </c>
      <c r="S62" s="19"/>
      <c r="T62" s="27"/>
      <c r="U62" s="19"/>
      <c r="V62" s="2"/>
      <c r="W62" s="2"/>
      <c r="X62" s="2"/>
      <c r="Y62" s="2"/>
      <c r="Z62" s="2"/>
      <c r="AA62" s="2"/>
      <c r="AB62" s="2"/>
    </row>
    <row r="63" spans="1:37" ht="16.2" x14ac:dyDescent="0.45">
      <c r="A63" s="2"/>
      <c r="B63" s="112" t="s">
        <v>88</v>
      </c>
      <c r="C63" s="112"/>
      <c r="D63" s="112"/>
      <c r="E63" s="112"/>
      <c r="F63" s="112"/>
      <c r="G63" s="113">
        <f>+G60+G61-G62</f>
        <v>23259</v>
      </c>
      <c r="H63" s="113">
        <f t="shared" ref="H63:K63" si="56">+H60+H61-H62</f>
        <v>25450</v>
      </c>
      <c r="I63" s="113">
        <f t="shared" si="56"/>
        <v>27479</v>
      </c>
      <c r="J63" s="113">
        <f t="shared" si="56"/>
        <v>27999</v>
      </c>
      <c r="K63" s="113">
        <f t="shared" si="56"/>
        <v>30736</v>
      </c>
      <c r="L63" s="113">
        <f t="shared" ref="L63:P63" ca="1" si="57">+L60+L61-L62</f>
        <v>30287.316048767127</v>
      </c>
      <c r="M63" s="113">
        <f t="shared" ca="1" si="57"/>
        <v>32407.428172180822</v>
      </c>
      <c r="N63" s="113">
        <f t="shared" ca="1" si="57"/>
        <v>33553.645367083984</v>
      </c>
      <c r="O63" s="113">
        <f t="shared" ca="1" si="57"/>
        <v>35231.327635438181</v>
      </c>
      <c r="P63" s="113">
        <f t="shared" ca="1" si="57"/>
        <v>36992.894017210092</v>
      </c>
      <c r="Q63" s="113">
        <f t="shared" ref="Q63:R63" ca="1" si="58">+Q60+Q61-Q62</f>
        <v>38842.538718070602</v>
      </c>
      <c r="R63" s="113">
        <f t="shared" ca="1" si="58"/>
        <v>40784.665653974131</v>
      </c>
      <c r="S63" s="19"/>
      <c r="T63" s="27"/>
      <c r="U63" s="19"/>
      <c r="V63" s="2"/>
      <c r="W63" s="2"/>
      <c r="X63" s="2"/>
      <c r="Y63" s="2"/>
      <c r="Z63" s="2"/>
      <c r="AA63" s="2"/>
      <c r="AB63" s="2"/>
    </row>
    <row r="64" spans="1:37" ht="16.2" x14ac:dyDescent="0.45">
      <c r="A64" s="2"/>
      <c r="B64" s="165" t="s">
        <v>89</v>
      </c>
      <c r="C64" s="165"/>
      <c r="D64" s="165"/>
      <c r="E64" s="165"/>
      <c r="F64" s="165"/>
      <c r="G64" s="165"/>
      <c r="H64" s="184">
        <f>+H63-G63</f>
        <v>2191</v>
      </c>
      <c r="I64" s="184">
        <f t="shared" ref="I64:P64" si="59">+I63-H63</f>
        <v>2029</v>
      </c>
      <c r="J64" s="184">
        <f t="shared" si="59"/>
        <v>520</v>
      </c>
      <c r="K64" s="184">
        <f t="shared" si="59"/>
        <v>2737</v>
      </c>
      <c r="L64" s="184">
        <f t="shared" ca="1" si="59"/>
        <v>-448.68395123287337</v>
      </c>
      <c r="M64" s="184">
        <f t="shared" ca="1" si="59"/>
        <v>2120.1121234136954</v>
      </c>
      <c r="N64" s="184">
        <f t="shared" ca="1" si="59"/>
        <v>1146.2171949031617</v>
      </c>
      <c r="O64" s="184">
        <f t="shared" ca="1" si="59"/>
        <v>1677.6822683541977</v>
      </c>
      <c r="P64" s="184">
        <f t="shared" ca="1" si="59"/>
        <v>1761.5663817719105</v>
      </c>
      <c r="Q64" s="184">
        <f t="shared" ref="Q64" ca="1" si="60">+Q63-P63</f>
        <v>1849.6447008605101</v>
      </c>
      <c r="R64" s="184">
        <f t="shared" ref="R64" ca="1" si="61">+R63-Q63</f>
        <v>1942.1269359035286</v>
      </c>
      <c r="S64" s="19"/>
      <c r="T64" s="27"/>
      <c r="U64" s="19"/>
      <c r="V64" s="2"/>
      <c r="W64" s="2"/>
      <c r="X64" s="2"/>
      <c r="Y64" s="2"/>
      <c r="Z64" s="2"/>
      <c r="AA64" s="2"/>
      <c r="AB64" s="2"/>
    </row>
    <row r="65" spans="1:28" ht="16.2" x14ac:dyDescent="0.45">
      <c r="A65" s="2"/>
      <c r="B65" s="19"/>
      <c r="C65" s="19"/>
      <c r="D65" s="19"/>
      <c r="E65" s="19"/>
      <c r="F65" s="19"/>
      <c r="G65" s="19"/>
      <c r="H65" s="19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19"/>
      <c r="T65" s="27"/>
      <c r="U65" s="19"/>
      <c r="V65" s="2"/>
      <c r="W65" s="2"/>
      <c r="X65" s="2"/>
      <c r="Y65" s="2"/>
      <c r="Z65" s="2"/>
      <c r="AA65" s="2"/>
      <c r="AB65" s="2"/>
    </row>
    <row r="66" spans="1:28" ht="16.2" x14ac:dyDescent="0.45">
      <c r="A66" s="2"/>
      <c r="B66" s="45" t="s">
        <v>206</v>
      </c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2"/>
      <c r="U66" s="2"/>
      <c r="V66" s="2"/>
      <c r="W66" s="2"/>
      <c r="X66" s="2"/>
      <c r="Y66" s="2"/>
      <c r="Z66" s="2"/>
      <c r="AA66" s="2"/>
      <c r="AB66" s="2"/>
    </row>
    <row r="67" spans="1:28" ht="16.2" outlineLevel="1" x14ac:dyDescent="0.45">
      <c r="A67" s="2"/>
      <c r="B67" s="21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2"/>
      <c r="U67" s="2"/>
      <c r="V67" s="2"/>
      <c r="W67" s="2"/>
      <c r="X67" s="2"/>
      <c r="Y67" s="2"/>
      <c r="Z67" s="2"/>
      <c r="AA67" s="2"/>
      <c r="AB67" s="2"/>
    </row>
    <row r="68" spans="1:28" ht="16.2" outlineLevel="1" x14ac:dyDescent="0.45">
      <c r="A68" s="2"/>
      <c r="B68" s="21" t="s">
        <v>206</v>
      </c>
      <c r="C68" s="19"/>
      <c r="D68" s="19"/>
      <c r="E68" s="19"/>
      <c r="F68" s="19"/>
      <c r="G68" s="56">
        <f t="shared" ref="G68:R68" si="62">+G57</f>
        <v>44561</v>
      </c>
      <c r="H68" s="56">
        <f t="shared" si="62"/>
        <v>44926</v>
      </c>
      <c r="I68" s="56">
        <f t="shared" si="62"/>
        <v>45291</v>
      </c>
      <c r="J68" s="56">
        <f t="shared" si="62"/>
        <v>45657</v>
      </c>
      <c r="K68" s="56">
        <f t="shared" si="62"/>
        <v>46022</v>
      </c>
      <c r="L68" s="109">
        <f t="shared" si="62"/>
        <v>46387</v>
      </c>
      <c r="M68" s="109">
        <f t="shared" si="62"/>
        <v>46752</v>
      </c>
      <c r="N68" s="109">
        <f t="shared" si="62"/>
        <v>47118</v>
      </c>
      <c r="O68" s="109">
        <f t="shared" si="62"/>
        <v>47483</v>
      </c>
      <c r="P68" s="109">
        <f t="shared" si="62"/>
        <v>47848</v>
      </c>
      <c r="Q68" s="109">
        <f t="shared" si="62"/>
        <v>48213</v>
      </c>
      <c r="R68" s="109">
        <f t="shared" si="62"/>
        <v>48579</v>
      </c>
      <c r="S68" s="2"/>
      <c r="U68" s="2"/>
      <c r="V68" s="2"/>
      <c r="W68" s="2"/>
      <c r="X68" s="2"/>
      <c r="Y68" s="2"/>
      <c r="Z68" s="2"/>
      <c r="AA68" s="2"/>
      <c r="AB68" s="2"/>
    </row>
    <row r="69" spans="1:28" ht="16.2" outlineLevel="1" x14ac:dyDescent="0.45">
      <c r="A69" s="2"/>
      <c r="B69" s="19" t="s">
        <v>213</v>
      </c>
      <c r="C69" s="19"/>
      <c r="D69" s="19"/>
      <c r="E69" s="19"/>
      <c r="F69" s="19"/>
      <c r="G69" s="19"/>
      <c r="H69" s="53">
        <f>+G72</f>
        <v>37789</v>
      </c>
      <c r="I69" s="53">
        <f t="shared" ref="I69:P69" si="63">+H72</f>
        <v>36993</v>
      </c>
      <c r="J69" s="53">
        <f t="shared" si="63"/>
        <v>37878</v>
      </c>
      <c r="K69" s="53">
        <f t="shared" si="63"/>
        <v>38409</v>
      </c>
      <c r="L69" s="53">
        <f t="shared" si="63"/>
        <v>43330</v>
      </c>
      <c r="M69" s="53">
        <f t="shared" si="63"/>
        <v>40907.766831577967</v>
      </c>
      <c r="N69" s="53">
        <f t="shared" si="63"/>
        <v>38315.977341366386</v>
      </c>
      <c r="O69" s="53">
        <f t="shared" si="63"/>
        <v>35542.762586839999</v>
      </c>
      <c r="P69" s="53">
        <f t="shared" si="63"/>
        <v>32575.422799496762</v>
      </c>
      <c r="Q69" s="53">
        <f t="shared" ref="Q69" si="64">+P72</f>
        <v>29400.3692270395</v>
      </c>
      <c r="R69" s="53">
        <f t="shared" ref="R69" si="65">+Q72</f>
        <v>26003.061904510228</v>
      </c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6.2" outlineLevel="1" x14ac:dyDescent="0.45">
      <c r="A70" s="2"/>
      <c r="B70" s="19" t="s">
        <v>207</v>
      </c>
      <c r="C70" s="19"/>
      <c r="D70" s="19"/>
      <c r="E70" s="19"/>
      <c r="F70" s="19"/>
      <c r="G70" s="19"/>
      <c r="H70" s="19">
        <f>+IF(H72&gt;H69,H72-H69,0)</f>
        <v>0</v>
      </c>
      <c r="I70" s="19">
        <f t="shared" ref="I70:K70" si="66">+IF(I72&gt;I69,I72-I69,0)</f>
        <v>885</v>
      </c>
      <c r="J70" s="19">
        <f t="shared" si="66"/>
        <v>531</v>
      </c>
      <c r="K70" s="19">
        <f t="shared" si="66"/>
        <v>4921</v>
      </c>
      <c r="L70" s="19"/>
      <c r="M70" s="19"/>
      <c r="N70" s="19"/>
      <c r="O70" s="19"/>
      <c r="P70" s="19"/>
      <c r="Q70" s="19"/>
      <c r="R70" s="19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6.2" outlineLevel="1" x14ac:dyDescent="0.45">
      <c r="A71" s="2"/>
      <c r="B71" s="19" t="s">
        <v>208</v>
      </c>
      <c r="C71" s="19"/>
      <c r="D71" s="19"/>
      <c r="E71" s="19"/>
      <c r="F71" s="19"/>
      <c r="G71" s="19"/>
      <c r="H71" s="19">
        <f>+IF(H69&gt;H72,H69-H72,0)</f>
        <v>796</v>
      </c>
      <c r="I71" s="19">
        <f t="shared" ref="I71:K71" si="67">+IF(I69&gt;I72,I69-I72,0)</f>
        <v>0</v>
      </c>
      <c r="J71" s="19">
        <f t="shared" si="67"/>
        <v>0</v>
      </c>
      <c r="K71" s="19">
        <f t="shared" si="67"/>
        <v>0</v>
      </c>
      <c r="L71" s="161">
        <f>+G81</f>
        <v>-2422.2331684220362</v>
      </c>
      <c r="M71" s="161">
        <f t="shared" ref="M71:P71" si="68">+H81</f>
        <v>-2591.7894902115786</v>
      </c>
      <c r="N71" s="161">
        <f t="shared" si="68"/>
        <v>-2773.2147545263892</v>
      </c>
      <c r="O71" s="161">
        <f t="shared" si="68"/>
        <v>-2967.3397873432364</v>
      </c>
      <c r="P71" s="161">
        <f t="shared" si="68"/>
        <v>-3175.0535724572628</v>
      </c>
      <c r="Q71" s="161">
        <f t="shared" ref="Q71" si="69">+L81</f>
        <v>-3397.3073225292715</v>
      </c>
      <c r="R71" s="161">
        <f t="shared" ref="R71" si="70">+M81</f>
        <v>-3635.1188351063201</v>
      </c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s="5" customFormat="1" ht="16.8" outlineLevel="1" thickBot="1" x14ac:dyDescent="0.5">
      <c r="A72" s="1"/>
      <c r="B72" s="58" t="s">
        <v>212</v>
      </c>
      <c r="C72" s="58"/>
      <c r="D72" s="58"/>
      <c r="E72" s="58"/>
      <c r="F72" s="58"/>
      <c r="G72" s="60">
        <f>+G34</f>
        <v>37789</v>
      </c>
      <c r="H72" s="60">
        <f>+H34</f>
        <v>36993</v>
      </c>
      <c r="I72" s="60">
        <f>+I34</f>
        <v>37878</v>
      </c>
      <c r="J72" s="60">
        <f>+J34</f>
        <v>38409</v>
      </c>
      <c r="K72" s="60">
        <f>+K34</f>
        <v>43330</v>
      </c>
      <c r="L72" s="60">
        <f>+SUM(L69:L71)</f>
        <v>40907.766831577967</v>
      </c>
      <c r="M72" s="60">
        <f t="shared" ref="M72:P72" si="71">+SUM(M69:M71)</f>
        <v>38315.977341366386</v>
      </c>
      <c r="N72" s="60">
        <f t="shared" si="71"/>
        <v>35542.762586839999</v>
      </c>
      <c r="O72" s="60">
        <f t="shared" si="71"/>
        <v>32575.422799496762</v>
      </c>
      <c r="P72" s="60">
        <f t="shared" si="71"/>
        <v>29400.3692270395</v>
      </c>
      <c r="Q72" s="60">
        <f t="shared" ref="Q72:R72" si="72">+SUM(Q69:Q71)</f>
        <v>26003.061904510228</v>
      </c>
      <c r="R72" s="60">
        <f t="shared" si="72"/>
        <v>22367.943069403907</v>
      </c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6.2" outlineLevel="1" x14ac:dyDescent="0.45">
      <c r="A73" s="2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6.2" outlineLevel="1" x14ac:dyDescent="0.45">
      <c r="A74" s="2"/>
      <c r="B74" s="19" t="s">
        <v>209</v>
      </c>
      <c r="C74" s="19"/>
      <c r="D74" s="19"/>
      <c r="E74" s="160">
        <v>7.0000000000000007E-2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2"/>
      <c r="V74" s="2"/>
      <c r="W74" s="2"/>
      <c r="X74" s="2"/>
      <c r="Y74" s="2"/>
      <c r="Z74" s="2"/>
      <c r="AA74" s="2"/>
      <c r="AB74" s="2"/>
    </row>
    <row r="75" spans="1:28" ht="16.2" outlineLevel="1" x14ac:dyDescent="0.45">
      <c r="A75" s="2"/>
      <c r="B75" s="19" t="s">
        <v>210</v>
      </c>
      <c r="C75" s="19"/>
      <c r="D75" s="19"/>
      <c r="E75" s="118">
        <v>12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2"/>
      <c r="V75" s="2"/>
      <c r="W75" s="2"/>
      <c r="X75" s="2"/>
      <c r="Y75" s="2"/>
      <c r="Z75" s="2"/>
      <c r="AA75" s="2"/>
      <c r="AB75" s="2"/>
    </row>
    <row r="76" spans="1:28" ht="16.2" outlineLevel="1" x14ac:dyDescent="0.45">
      <c r="A76" s="2"/>
      <c r="B76" s="21" t="s">
        <v>211</v>
      </c>
      <c r="C76" s="19"/>
      <c r="D76" s="19"/>
      <c r="E76" s="161">
        <f>+PMT(E74,E75,K72)</f>
        <v>-5455.3331684220366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2"/>
      <c r="V76" s="2"/>
      <c r="W76" s="2"/>
      <c r="X76" s="2"/>
      <c r="Y76" s="2"/>
      <c r="Z76" s="2"/>
      <c r="AA76" s="2"/>
      <c r="AB76" s="2"/>
    </row>
    <row r="77" spans="1:28" ht="16.2" outlineLevel="1" x14ac:dyDescent="0.45">
      <c r="A77" s="2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2"/>
      <c r="V77" s="2"/>
      <c r="W77" s="2"/>
      <c r="X77" s="2"/>
      <c r="Y77" s="2"/>
      <c r="Z77" s="2"/>
      <c r="AA77" s="2"/>
      <c r="AB77" s="2"/>
    </row>
    <row r="78" spans="1:28" ht="16.2" outlineLevel="1" x14ac:dyDescent="0.45">
      <c r="A78" s="2"/>
      <c r="B78" s="21" t="s">
        <v>210</v>
      </c>
      <c r="C78" s="19"/>
      <c r="D78" s="19"/>
      <c r="E78" s="19"/>
      <c r="F78" s="19"/>
      <c r="G78" s="21">
        <v>1</v>
      </c>
      <c r="H78" s="21">
        <f>+G78+1</f>
        <v>2</v>
      </c>
      <c r="I78" s="21">
        <f t="shared" ref="I78:P78" si="73">+H78+1</f>
        <v>3</v>
      </c>
      <c r="J78" s="21">
        <f t="shared" si="73"/>
        <v>4</v>
      </c>
      <c r="K78" s="21">
        <f t="shared" si="73"/>
        <v>5</v>
      </c>
      <c r="L78" s="21">
        <f t="shared" si="73"/>
        <v>6</v>
      </c>
      <c r="M78" s="21">
        <f t="shared" si="73"/>
        <v>7</v>
      </c>
      <c r="N78" s="21">
        <f t="shared" si="73"/>
        <v>8</v>
      </c>
      <c r="O78" s="21">
        <f t="shared" si="73"/>
        <v>9</v>
      </c>
      <c r="P78" s="21">
        <f t="shared" si="73"/>
        <v>10</v>
      </c>
      <c r="Q78" s="21">
        <f t="shared" ref="Q78" si="74">+P78+1</f>
        <v>11</v>
      </c>
      <c r="R78" s="21">
        <f t="shared" ref="R78" si="75">+Q78+1</f>
        <v>12</v>
      </c>
      <c r="S78" s="19"/>
      <c r="T78" s="19"/>
      <c r="U78" s="2"/>
      <c r="V78" s="2"/>
      <c r="W78" s="2"/>
      <c r="X78" s="2"/>
      <c r="Y78" s="2"/>
      <c r="Z78" s="2"/>
      <c r="AA78" s="2"/>
      <c r="AB78" s="2"/>
    </row>
    <row r="79" spans="1:28" ht="16.2" outlineLevel="1" x14ac:dyDescent="0.45">
      <c r="A79" s="2"/>
      <c r="B79" s="23" t="s">
        <v>214</v>
      </c>
      <c r="C79" s="23"/>
      <c r="D79" s="23"/>
      <c r="E79" s="23"/>
      <c r="F79" s="23"/>
      <c r="G79" s="167">
        <f>+$E$76</f>
        <v>-5455.3331684220366</v>
      </c>
      <c r="H79" s="167">
        <f t="shared" ref="H79:R79" si="76">+$E$76</f>
        <v>-5455.3331684220366</v>
      </c>
      <c r="I79" s="167">
        <f t="shared" si="76"/>
        <v>-5455.3331684220366</v>
      </c>
      <c r="J79" s="167">
        <f t="shared" si="76"/>
        <v>-5455.3331684220366</v>
      </c>
      <c r="K79" s="167">
        <f t="shared" si="76"/>
        <v>-5455.3331684220366</v>
      </c>
      <c r="L79" s="167">
        <f t="shared" si="76"/>
        <v>-5455.3331684220366</v>
      </c>
      <c r="M79" s="167">
        <f t="shared" si="76"/>
        <v>-5455.3331684220366</v>
      </c>
      <c r="N79" s="167">
        <f t="shared" si="76"/>
        <v>-5455.3331684220366</v>
      </c>
      <c r="O79" s="167">
        <f t="shared" si="76"/>
        <v>-5455.3331684220366</v>
      </c>
      <c r="P79" s="167">
        <f t="shared" si="76"/>
        <v>-5455.3331684220366</v>
      </c>
      <c r="Q79" s="167">
        <f t="shared" si="76"/>
        <v>-5455.3331684220366</v>
      </c>
      <c r="R79" s="167">
        <f t="shared" si="76"/>
        <v>-5455.3331684220366</v>
      </c>
      <c r="S79" s="19"/>
      <c r="T79" s="19"/>
      <c r="U79" s="2"/>
      <c r="V79" s="2"/>
      <c r="W79" s="2"/>
      <c r="X79" s="2"/>
      <c r="Y79" s="2"/>
      <c r="Z79" s="2"/>
      <c r="AA79" s="2"/>
      <c r="AB79" s="2"/>
    </row>
    <row r="80" spans="1:28" ht="16.2" outlineLevel="1" x14ac:dyDescent="0.45">
      <c r="A80" s="2"/>
      <c r="B80" s="19" t="s">
        <v>8</v>
      </c>
      <c r="C80" s="19"/>
      <c r="D80" s="19"/>
      <c r="E80" s="19"/>
      <c r="F80" s="19"/>
      <c r="G80" s="19">
        <f>+-K72*$E74</f>
        <v>-3033.1000000000004</v>
      </c>
      <c r="H80" s="54">
        <f>+-G82*$E74</f>
        <v>-2863.543678210458</v>
      </c>
      <c r="I80" s="54">
        <f t="shared" ref="I80:P80" si="77">+-H82*$E74</f>
        <v>-2682.1184138956473</v>
      </c>
      <c r="J80" s="54">
        <f t="shared" si="77"/>
        <v>-2487.9933810788002</v>
      </c>
      <c r="K80" s="54">
        <f t="shared" si="77"/>
        <v>-2280.2795959647738</v>
      </c>
      <c r="L80" s="54">
        <f t="shared" si="77"/>
        <v>-2058.0258458927651</v>
      </c>
      <c r="M80" s="54">
        <f t="shared" si="77"/>
        <v>-1820.2143333157162</v>
      </c>
      <c r="N80" s="54">
        <f t="shared" si="77"/>
        <v>-1565.7560148582736</v>
      </c>
      <c r="O80" s="54">
        <f t="shared" si="77"/>
        <v>-1293.4856141088101</v>
      </c>
      <c r="P80" s="54">
        <f t="shared" si="77"/>
        <v>-1002.1562853068842</v>
      </c>
      <c r="Q80" s="54">
        <f t="shared" ref="Q80" si="78">+-P82*$E74</f>
        <v>-690.43390348882349</v>
      </c>
      <c r="R80" s="54">
        <f t="shared" ref="R80" si="79">+-Q82*$E74</f>
        <v>-356.89095494349851</v>
      </c>
      <c r="S80" s="19"/>
      <c r="T80" s="19"/>
      <c r="U80" s="2"/>
      <c r="V80" s="2"/>
      <c r="W80" s="2"/>
      <c r="X80" s="2"/>
      <c r="Y80" s="2"/>
      <c r="Z80" s="2"/>
      <c r="AA80" s="2"/>
      <c r="AB80" s="2"/>
    </row>
    <row r="81" spans="1:28" ht="16.2" outlineLevel="1" x14ac:dyDescent="0.45">
      <c r="A81" s="2"/>
      <c r="B81" s="19" t="s">
        <v>215</v>
      </c>
      <c r="C81" s="19"/>
      <c r="D81" s="19"/>
      <c r="E81" s="19"/>
      <c r="F81" s="19"/>
      <c r="G81" s="161">
        <f>+G79-G80</f>
        <v>-2422.2331684220362</v>
      </c>
      <c r="H81" s="161">
        <f>+H79-H80</f>
        <v>-2591.7894902115786</v>
      </c>
      <c r="I81" s="161">
        <f t="shared" ref="I81:P81" si="80">+I79-I80</f>
        <v>-2773.2147545263892</v>
      </c>
      <c r="J81" s="161">
        <f t="shared" si="80"/>
        <v>-2967.3397873432364</v>
      </c>
      <c r="K81" s="161">
        <f t="shared" si="80"/>
        <v>-3175.0535724572628</v>
      </c>
      <c r="L81" s="161">
        <f t="shared" si="80"/>
        <v>-3397.3073225292715</v>
      </c>
      <c r="M81" s="161">
        <f t="shared" si="80"/>
        <v>-3635.1188351063201</v>
      </c>
      <c r="N81" s="161">
        <f t="shared" si="80"/>
        <v>-3889.5771535637632</v>
      </c>
      <c r="O81" s="161">
        <f t="shared" si="80"/>
        <v>-4161.8475543132263</v>
      </c>
      <c r="P81" s="161">
        <f t="shared" si="80"/>
        <v>-4453.1768831151521</v>
      </c>
      <c r="Q81" s="161">
        <f t="shared" ref="Q81:R81" si="81">+Q79-Q80</f>
        <v>-4764.8992649332131</v>
      </c>
      <c r="R81" s="161">
        <f t="shared" si="81"/>
        <v>-5098.4422134785382</v>
      </c>
      <c r="S81" s="19"/>
      <c r="T81" s="19"/>
      <c r="U81" s="2"/>
      <c r="V81" s="2"/>
      <c r="W81" s="2"/>
      <c r="X81" s="2"/>
      <c r="Y81" s="2"/>
      <c r="Z81" s="2"/>
      <c r="AA81" s="2"/>
      <c r="AB81" s="2"/>
    </row>
    <row r="82" spans="1:28" ht="16.2" outlineLevel="1" x14ac:dyDescent="0.45">
      <c r="A82" s="2"/>
      <c r="B82" s="19" t="s">
        <v>216</v>
      </c>
      <c r="C82" s="19"/>
      <c r="D82" s="19"/>
      <c r="E82" s="19"/>
      <c r="F82" s="19"/>
      <c r="G82" s="161">
        <f>+G81+K72</f>
        <v>40907.766831577967</v>
      </c>
      <c r="H82" s="161">
        <f>+G82+H81</f>
        <v>38315.977341366386</v>
      </c>
      <c r="I82" s="161">
        <f t="shared" ref="I82:P82" si="82">+H82+I81</f>
        <v>35542.762586839999</v>
      </c>
      <c r="J82" s="161">
        <f t="shared" si="82"/>
        <v>32575.422799496762</v>
      </c>
      <c r="K82" s="161">
        <f t="shared" si="82"/>
        <v>29400.3692270395</v>
      </c>
      <c r="L82" s="161">
        <f t="shared" si="82"/>
        <v>26003.061904510228</v>
      </c>
      <c r="M82" s="161">
        <f t="shared" si="82"/>
        <v>22367.943069403907</v>
      </c>
      <c r="N82" s="161">
        <f t="shared" si="82"/>
        <v>18478.365915840142</v>
      </c>
      <c r="O82" s="161">
        <f t="shared" si="82"/>
        <v>14316.518361526916</v>
      </c>
      <c r="P82" s="161">
        <f t="shared" si="82"/>
        <v>9863.3414784117631</v>
      </c>
      <c r="Q82" s="161">
        <f t="shared" ref="Q82" si="83">+P82+Q81</f>
        <v>5098.44221347855</v>
      </c>
      <c r="R82" s="161">
        <f t="shared" ref="R82" si="84">+Q82+R81</f>
        <v>1.1823431123048067E-11</v>
      </c>
      <c r="S82" s="19"/>
      <c r="T82" s="19"/>
      <c r="U82" s="2"/>
      <c r="V82" s="2"/>
      <c r="W82" s="2"/>
      <c r="X82" s="2"/>
      <c r="Y82" s="2"/>
      <c r="Z82" s="2"/>
      <c r="AA82" s="2"/>
      <c r="AB82" s="2"/>
    </row>
    <row r="83" spans="1:28" ht="16.2" outlineLevel="1" x14ac:dyDescent="0.45">
      <c r="A83" s="2"/>
      <c r="B83" s="19"/>
      <c r="C83" s="19"/>
      <c r="D83" s="19"/>
      <c r="E83" s="19"/>
      <c r="F83" s="19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9"/>
      <c r="T83" s="19"/>
      <c r="U83" s="2"/>
      <c r="V83" s="2"/>
      <c r="W83" s="2"/>
      <c r="X83" s="2"/>
      <c r="Y83" s="2"/>
      <c r="Z83" s="2"/>
      <c r="AA83" s="2"/>
      <c r="AB83" s="2"/>
    </row>
    <row r="84" spans="1:28" ht="16.2" x14ac:dyDescent="0.45">
      <c r="A84" s="2"/>
      <c r="B84" s="19"/>
      <c r="C84" s="19"/>
      <c r="D84" s="19"/>
      <c r="E84" s="19"/>
      <c r="F84" s="19"/>
      <c r="G84" s="19"/>
      <c r="H84" s="19"/>
      <c r="I84" s="19" t="s">
        <v>23</v>
      </c>
      <c r="J84" s="168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2"/>
      <c r="V84" s="2"/>
      <c r="W84" s="2"/>
      <c r="X84" s="2"/>
      <c r="Y84" s="2"/>
      <c r="Z84" s="2"/>
      <c r="AA84" s="2"/>
      <c r="AB84" s="2"/>
    </row>
    <row r="85" spans="1:28" ht="16.2" x14ac:dyDescent="0.45">
      <c r="A85" s="2"/>
      <c r="B85" s="45" t="s">
        <v>218</v>
      </c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9"/>
      <c r="T85" s="19"/>
      <c r="U85" s="2"/>
      <c r="V85" s="2"/>
      <c r="W85" s="2"/>
      <c r="X85" s="2"/>
      <c r="Y85" s="2"/>
      <c r="Z85" s="2"/>
      <c r="AA85" s="2"/>
      <c r="AB85" s="2"/>
    </row>
    <row r="86" spans="1:28" ht="16.2" x14ac:dyDescent="0.45">
      <c r="A86" s="2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2"/>
      <c r="V86" s="2"/>
      <c r="W86" s="2"/>
      <c r="X86" s="2"/>
      <c r="Y86" s="2"/>
      <c r="Z86" s="2"/>
      <c r="AA86" s="2"/>
      <c r="AB86" s="2"/>
    </row>
    <row r="87" spans="1:28" ht="16.2" x14ac:dyDescent="0.45">
      <c r="A87" s="2"/>
      <c r="B87" s="21" t="s">
        <v>218</v>
      </c>
      <c r="C87" s="19"/>
      <c r="D87" s="19"/>
      <c r="E87" s="19"/>
      <c r="F87" s="19"/>
      <c r="G87" s="56">
        <f t="shared" ref="G87:R87" si="85">+G18</f>
        <v>44561</v>
      </c>
      <c r="H87" s="56">
        <f t="shared" si="85"/>
        <v>44926</v>
      </c>
      <c r="I87" s="56">
        <f t="shared" si="85"/>
        <v>45291</v>
      </c>
      <c r="J87" s="56">
        <f t="shared" si="85"/>
        <v>45657</v>
      </c>
      <c r="K87" s="56">
        <f t="shared" si="85"/>
        <v>46022</v>
      </c>
      <c r="L87" s="109">
        <f t="shared" si="85"/>
        <v>46387</v>
      </c>
      <c r="M87" s="109">
        <f t="shared" si="85"/>
        <v>46752</v>
      </c>
      <c r="N87" s="109">
        <f t="shared" si="85"/>
        <v>47118</v>
      </c>
      <c r="O87" s="109">
        <f t="shared" si="85"/>
        <v>47483</v>
      </c>
      <c r="P87" s="109">
        <f t="shared" si="85"/>
        <v>47848</v>
      </c>
      <c r="Q87" s="109">
        <f t="shared" si="85"/>
        <v>48213</v>
      </c>
      <c r="R87" s="109">
        <f t="shared" si="85"/>
        <v>48579</v>
      </c>
      <c r="S87" s="19"/>
      <c r="T87" s="19"/>
      <c r="U87" s="2"/>
      <c r="V87" s="2"/>
      <c r="W87" s="2"/>
      <c r="X87" s="2"/>
      <c r="Y87" s="2"/>
      <c r="Z87" s="2"/>
      <c r="AA87" s="2"/>
      <c r="AB87" s="2"/>
    </row>
    <row r="88" spans="1:28" ht="16.2" x14ac:dyDescent="0.45">
      <c r="A88" s="2"/>
      <c r="B88" s="19" t="s">
        <v>219</v>
      </c>
      <c r="C88" s="19"/>
      <c r="D88" s="19"/>
      <c r="E88" s="19"/>
      <c r="F88" s="19"/>
      <c r="G88" s="19"/>
      <c r="H88" s="19"/>
      <c r="I88" s="19"/>
      <c r="J88" s="19"/>
      <c r="K88" s="19"/>
      <c r="L88" s="53">
        <f>+K92</f>
        <v>21318</v>
      </c>
      <c r="M88" s="53">
        <f t="shared" ref="M88:P88" ca="1" si="86">+L92</f>
        <v>28569.573739349999</v>
      </c>
      <c r="N88" s="53">
        <f t="shared" ca="1" si="86"/>
        <v>36504.851264668236</v>
      </c>
      <c r="O88" s="53">
        <f t="shared" ca="1" si="86"/>
        <v>46878.791895419003</v>
      </c>
      <c r="P88" s="53">
        <f t="shared" ca="1" si="86"/>
        <v>58018.25553535275</v>
      </c>
      <c r="Q88" s="53">
        <f t="shared" ref="Q88" ca="1" si="87">+P92</f>
        <v>69963.899304287552</v>
      </c>
      <c r="R88" s="53">
        <f t="shared" ref="R88" ca="1" si="88">+Q92</f>
        <v>82758.590138979882</v>
      </c>
      <c r="S88" s="19"/>
      <c r="T88" s="19"/>
      <c r="U88" s="2"/>
      <c r="V88" s="2"/>
      <c r="W88" s="2"/>
      <c r="X88" s="2"/>
      <c r="Y88" s="2"/>
      <c r="Z88" s="2"/>
      <c r="AA88" s="2"/>
      <c r="AB88" s="2"/>
    </row>
    <row r="89" spans="1:28" ht="16.2" x14ac:dyDescent="0.45">
      <c r="A89" s="2"/>
      <c r="B89" s="19" t="s">
        <v>220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2"/>
      <c r="V89" s="2"/>
      <c r="W89" s="2"/>
      <c r="X89" s="2"/>
      <c r="Y89" s="2"/>
      <c r="Z89" s="2"/>
      <c r="AA89" s="2"/>
      <c r="AB89" s="2"/>
    </row>
    <row r="90" spans="1:28" ht="16.2" x14ac:dyDescent="0.45">
      <c r="A90" s="2"/>
      <c r="B90" s="19" t="s">
        <v>183</v>
      </c>
      <c r="C90" s="19"/>
      <c r="D90" s="19"/>
      <c r="E90" s="19"/>
      <c r="F90" s="19"/>
      <c r="G90" s="19"/>
      <c r="H90" s="19"/>
      <c r="I90" s="19"/>
      <c r="J90" s="19"/>
      <c r="K90" s="19"/>
      <c r="L90" s="53">
        <f ca="1">+'P&amp;L'!L$38</f>
        <v>7251.5737393499976</v>
      </c>
      <c r="M90" s="53">
        <f ca="1">+'P&amp;L'!M$38</f>
        <v>7935.2775253182408</v>
      </c>
      <c r="N90" s="53">
        <f ca="1">+'P&amp;L'!N$38</f>
        <v>10373.940630750767</v>
      </c>
      <c r="O90" s="53">
        <f ca="1">+'P&amp;L'!O$38</f>
        <v>11139.463639933745</v>
      </c>
      <c r="P90" s="53">
        <f ca="1">+'P&amp;L'!P$38</f>
        <v>11945.643768934797</v>
      </c>
      <c r="Q90" s="53">
        <f ca="1">+'P&amp;L'!Q$38</f>
        <v>12794.690834692334</v>
      </c>
      <c r="R90" s="53">
        <f ca="1">+'P&amp;L'!R$38</f>
        <v>13688.938098378134</v>
      </c>
      <c r="S90" s="19"/>
      <c r="T90" s="19"/>
      <c r="U90" s="2"/>
      <c r="V90" s="2"/>
      <c r="W90" s="2"/>
      <c r="X90" s="2"/>
      <c r="Y90" s="2"/>
      <c r="Z90" s="2"/>
      <c r="AA90" s="2"/>
      <c r="AB90" s="2"/>
    </row>
    <row r="91" spans="1:28" ht="16.2" x14ac:dyDescent="0.45">
      <c r="A91" s="2"/>
      <c r="B91" s="19" t="s">
        <v>221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2"/>
      <c r="V91" s="2"/>
      <c r="W91" s="2"/>
      <c r="X91" s="2"/>
      <c r="Y91" s="2"/>
      <c r="Z91" s="2"/>
      <c r="AA91" s="2"/>
      <c r="AB91" s="2"/>
    </row>
    <row r="92" spans="1:28" s="5" customFormat="1" ht="16.8" thickBot="1" x14ac:dyDescent="0.5">
      <c r="A92" s="1"/>
      <c r="B92" s="58" t="s">
        <v>222</v>
      </c>
      <c r="C92" s="58"/>
      <c r="D92" s="58"/>
      <c r="E92" s="58"/>
      <c r="F92" s="58"/>
      <c r="G92" s="58"/>
      <c r="H92" s="58"/>
      <c r="I92" s="58"/>
      <c r="J92" s="58"/>
      <c r="K92" s="60">
        <f>+K33</f>
        <v>21318</v>
      </c>
      <c r="L92" s="60">
        <f ca="1">+SUM(L88:L91)</f>
        <v>28569.573739349999</v>
      </c>
      <c r="M92" s="60">
        <f t="shared" ref="M92:P92" ca="1" si="89">+SUM(M88:M91)</f>
        <v>36504.851264668236</v>
      </c>
      <c r="N92" s="60">
        <f t="shared" ca="1" si="89"/>
        <v>46878.791895419003</v>
      </c>
      <c r="O92" s="60">
        <f t="shared" ca="1" si="89"/>
        <v>58018.25553535275</v>
      </c>
      <c r="P92" s="60">
        <f t="shared" ca="1" si="89"/>
        <v>69963.899304287552</v>
      </c>
      <c r="Q92" s="60">
        <f t="shared" ref="Q92:R92" ca="1" si="90">+SUM(Q88:Q91)</f>
        <v>82758.590138979882</v>
      </c>
      <c r="R92" s="60">
        <f t="shared" ca="1" si="90"/>
        <v>96447.528237358012</v>
      </c>
      <c r="S92" s="21"/>
      <c r="T92" s="21"/>
      <c r="U92" s="1"/>
      <c r="V92" s="1"/>
      <c r="W92" s="1"/>
      <c r="X92" s="1"/>
      <c r="Y92" s="1"/>
      <c r="Z92" s="1"/>
      <c r="AA92" s="1"/>
      <c r="AB92" s="1"/>
    </row>
    <row r="93" spans="1:28" ht="16.2" x14ac:dyDescent="0.45">
      <c r="A93" s="2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2"/>
      <c r="V93" s="2"/>
      <c r="W93" s="2"/>
      <c r="X93" s="2"/>
      <c r="Y93" s="2"/>
      <c r="Z93" s="2"/>
      <c r="AA93" s="2"/>
      <c r="AB93" s="2"/>
    </row>
    <row r="94" spans="1:28" ht="16.2" x14ac:dyDescent="0.45">
      <c r="A94" s="2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53"/>
      <c r="M94" s="53"/>
      <c r="N94" s="53"/>
      <c r="O94" s="53"/>
      <c r="P94" s="53"/>
      <c r="Q94" s="53"/>
      <c r="R94" s="53"/>
      <c r="S94" s="19"/>
      <c r="T94" s="19"/>
      <c r="U94" s="2"/>
      <c r="V94" s="2"/>
      <c r="W94" s="2"/>
      <c r="X94" s="2"/>
      <c r="Y94" s="2"/>
      <c r="Z94" s="2"/>
      <c r="AA94" s="2"/>
      <c r="AB94" s="2"/>
    </row>
    <row r="95" spans="1:28" ht="16.2" x14ac:dyDescent="0.45">
      <c r="A95" s="2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2"/>
      <c r="V95" s="2"/>
      <c r="W95" s="2"/>
      <c r="X95" s="2"/>
      <c r="Y95" s="2"/>
      <c r="Z95" s="2"/>
      <c r="AA95" s="2"/>
      <c r="AB95" s="2"/>
    </row>
    <row r="96" spans="1:28" ht="16.2" x14ac:dyDescent="0.45">
      <c r="A96" s="2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2"/>
      <c r="V96" s="2"/>
      <c r="W96" s="2"/>
      <c r="X96" s="2"/>
      <c r="Y96" s="2"/>
      <c r="Z96" s="2"/>
      <c r="AA96" s="2"/>
      <c r="AB96" s="2"/>
    </row>
    <row r="97" spans="1:28" ht="16.2" x14ac:dyDescent="0.45">
      <c r="A97" s="2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2"/>
      <c r="V97" s="2"/>
      <c r="W97" s="2"/>
      <c r="X97" s="2"/>
      <c r="Y97" s="2"/>
      <c r="Z97" s="2"/>
      <c r="AA97" s="2"/>
      <c r="AB97" s="2"/>
    </row>
    <row r="98" spans="1:28" ht="16.2" x14ac:dyDescent="0.45">
      <c r="A98" s="2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2"/>
      <c r="V98" s="2"/>
      <c r="W98" s="2"/>
      <c r="X98" s="2"/>
      <c r="Y98" s="2"/>
      <c r="Z98" s="2"/>
      <c r="AA98" s="2"/>
      <c r="AB98" s="2"/>
    </row>
    <row r="99" spans="1:28" ht="16.2" x14ac:dyDescent="0.45">
      <c r="A99" s="2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2"/>
      <c r="V99" s="2"/>
      <c r="W99" s="2"/>
      <c r="X99" s="2"/>
      <c r="Y99" s="2"/>
      <c r="Z99" s="2"/>
      <c r="AA99" s="2"/>
      <c r="AB99" s="2"/>
    </row>
    <row r="100" spans="1:28" ht="16.2" x14ac:dyDescent="0.45">
      <c r="A100" s="2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2"/>
      <c r="V100" s="2"/>
      <c r="W100" s="2"/>
      <c r="X100" s="2"/>
      <c r="Y100" s="2"/>
      <c r="Z100" s="2"/>
      <c r="AA100" s="2"/>
      <c r="AB100" s="2"/>
    </row>
    <row r="101" spans="1:28" ht="16.2" x14ac:dyDescent="0.45">
      <c r="A101" s="2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2"/>
      <c r="V101" s="2"/>
      <c r="W101" s="2"/>
      <c r="X101" s="2"/>
      <c r="Y101" s="2"/>
      <c r="Z101" s="2"/>
      <c r="AA101" s="2"/>
      <c r="AB101" s="2"/>
    </row>
    <row r="102" spans="1:28" ht="16.2" x14ac:dyDescent="0.45">
      <c r="A102" s="2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2"/>
      <c r="V102" s="2"/>
      <c r="W102" s="2"/>
      <c r="X102" s="2"/>
      <c r="Y102" s="2"/>
      <c r="Z102" s="2"/>
      <c r="AA102" s="2"/>
      <c r="AB102" s="2"/>
    </row>
    <row r="103" spans="1:28" ht="16.2" x14ac:dyDescent="0.45">
      <c r="A103" s="2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2"/>
      <c r="V103" s="2"/>
      <c r="W103" s="2"/>
      <c r="X103" s="2"/>
      <c r="Y103" s="2"/>
      <c r="Z103" s="2"/>
      <c r="AA103" s="2"/>
      <c r="AB103" s="2"/>
    </row>
    <row r="104" spans="1:28" ht="16.2" x14ac:dyDescent="0.45">
      <c r="A104" s="2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2"/>
      <c r="V104" s="2"/>
      <c r="W104" s="2"/>
      <c r="X104" s="2"/>
      <c r="Y104" s="2"/>
      <c r="Z104" s="2"/>
      <c r="AA104" s="2"/>
      <c r="AB104" s="2"/>
    </row>
    <row r="105" spans="1:28" ht="16.2" x14ac:dyDescent="0.45">
      <c r="A105" s="2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2"/>
      <c r="V105" s="2"/>
      <c r="W105" s="2"/>
      <c r="X105" s="2"/>
      <c r="Y105" s="2"/>
      <c r="Z105" s="2"/>
      <c r="AA105" s="2"/>
      <c r="AB105" s="2"/>
    </row>
    <row r="106" spans="1:28" ht="16.2" x14ac:dyDescent="0.45">
      <c r="A106" s="2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2"/>
      <c r="V106" s="2"/>
      <c r="W106" s="2"/>
      <c r="X106" s="2"/>
      <c r="Y106" s="2"/>
      <c r="Z106" s="2"/>
      <c r="AA106" s="2"/>
      <c r="AB106" s="2"/>
    </row>
    <row r="107" spans="1:28" ht="16.2" x14ac:dyDescent="0.45">
      <c r="A107" s="2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2"/>
      <c r="V107" s="2"/>
      <c r="W107" s="2"/>
      <c r="X107" s="2"/>
      <c r="Y107" s="2"/>
      <c r="Z107" s="2"/>
      <c r="AA107" s="2"/>
      <c r="AB107" s="2"/>
    </row>
    <row r="108" spans="1:28" x14ac:dyDescent="0.3">
      <c r="A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x14ac:dyDescent="0.3">
      <c r="A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x14ac:dyDescent="0.3">
      <c r="A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x14ac:dyDescent="0.3">
      <c r="A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x14ac:dyDescent="0.3">
      <c r="A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x14ac:dyDescent="0.3">
      <c r="A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x14ac:dyDescent="0.3">
      <c r="A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x14ac:dyDescent="0.3">
      <c r="A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x14ac:dyDescent="0.3"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x14ac:dyDescent="0.3"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x14ac:dyDescent="0.3"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x14ac:dyDescent="0.3"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x14ac:dyDescent="0.3"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x14ac:dyDescent="0.3"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x14ac:dyDescent="0.3">
      <c r="S122" s="2"/>
      <c r="T122" s="2"/>
      <c r="U122" s="2"/>
      <c r="V122" s="2"/>
      <c r="W122" s="2"/>
      <c r="X122" s="2"/>
      <c r="Y122" s="2"/>
      <c r="Z122" s="2"/>
      <c r="AA122" s="2"/>
      <c r="AB122" s="2"/>
    </row>
  </sheetData>
  <conditionalFormatting sqref="G41:R41">
    <cfRule type="cellIs" dxfId="0" priority="1" operator="equal">
      <formula>"OK"</formula>
    </cfRule>
  </conditionalFormatting>
  <pageMargins left="0.7" right="0.7" top="0.75" bottom="0.75" header="0.3" footer="0.3"/>
  <pageSetup orientation="portrait" r:id="rId1"/>
  <ignoredErrors>
    <ignoredError sqref="L36 M36:R36" formula="1"/>
    <ignoredError sqref="G25:K25 G31:K3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A024-487B-4FF5-B639-A0D00AEB88B1}">
  <sheetPr>
    <tabColor rgb="FFC9F223"/>
  </sheetPr>
  <dimension ref="A1:AK179"/>
  <sheetViews>
    <sheetView showGridLines="0" zoomScale="80" zoomScaleNormal="80" workbookViewId="0">
      <pane ySplit="5" topLeftCell="A18" activePane="bottomLeft" state="frozen"/>
      <selection activeCell="P2" sqref="P2:P4"/>
      <selection pane="bottomLeft" activeCell="U47" sqref="U47"/>
    </sheetView>
  </sheetViews>
  <sheetFormatPr defaultRowHeight="14.4" x14ac:dyDescent="0.3"/>
  <cols>
    <col min="1" max="1" width="2.5546875" customWidth="1"/>
    <col min="6" max="8" width="12.77734375" customWidth="1"/>
    <col min="9" max="11" width="13.77734375" customWidth="1"/>
    <col min="12" max="18" width="14.77734375" customWidth="1"/>
    <col min="19" max="20" width="12.77734375" customWidth="1"/>
    <col min="27" max="27" width="10.44140625" customWidth="1"/>
  </cols>
  <sheetData>
    <row r="1" spans="1:28" ht="16.2" x14ac:dyDescent="0.4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27"/>
      <c r="U1" s="27"/>
      <c r="V1" s="27"/>
      <c r="W1" s="27"/>
    </row>
    <row r="2" spans="1:28" ht="16.2" x14ac:dyDescent="0.45">
      <c r="B2" s="61" t="s">
        <v>127</v>
      </c>
      <c r="C2" s="62"/>
      <c r="D2" s="62"/>
      <c r="E2" s="62"/>
      <c r="F2" s="62"/>
      <c r="G2" s="62"/>
      <c r="H2" s="32"/>
      <c r="I2" s="32"/>
      <c r="J2" s="32"/>
      <c r="K2" s="32"/>
      <c r="L2" s="36"/>
      <c r="M2" s="36"/>
      <c r="N2" s="36"/>
      <c r="O2" s="36"/>
      <c r="P2" s="36"/>
      <c r="Q2" s="36"/>
      <c r="R2" s="36"/>
      <c r="S2" s="33"/>
      <c r="T2" s="27"/>
      <c r="U2" s="27"/>
      <c r="V2" s="27"/>
      <c r="W2" s="27"/>
    </row>
    <row r="3" spans="1:28" ht="16.2" x14ac:dyDescent="0.45">
      <c r="B3" s="37" t="str">
        <f ca="1">'Cover Page'!E5&amp;" | "&amp;TEXT(TODAY(),"mmmm d, yyyy")</f>
        <v>Caterpillar Inc. (CAT) | February 11, 2026</v>
      </c>
      <c r="C3" s="38"/>
      <c r="D3" s="38"/>
      <c r="E3" s="38"/>
      <c r="F3" s="38"/>
      <c r="G3" s="38"/>
      <c r="H3" s="38"/>
      <c r="I3" s="39"/>
      <c r="J3" s="39"/>
      <c r="K3" s="39"/>
      <c r="L3" s="39"/>
      <c r="M3" s="39"/>
      <c r="N3" s="39"/>
      <c r="O3" s="39"/>
      <c r="P3" s="39"/>
      <c r="Q3" s="39"/>
      <c r="R3" s="39"/>
      <c r="S3" s="27"/>
      <c r="T3" s="27"/>
      <c r="U3" s="27"/>
      <c r="V3" s="27"/>
      <c r="W3" s="27"/>
    </row>
    <row r="4" spans="1:28" ht="16.2" x14ac:dyDescent="0.45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</row>
    <row r="5" spans="1:28" ht="16.8" thickBot="1" x14ac:dyDescent="0.5">
      <c r="B5" s="145" t="str">
        <f>+Assumptions!$D$11</f>
        <v>USD' millions</v>
      </c>
      <c r="C5" s="40"/>
      <c r="D5" s="40"/>
      <c r="E5" s="40"/>
      <c r="F5" s="40"/>
      <c r="G5" s="40"/>
      <c r="H5" s="40"/>
      <c r="I5" s="63"/>
      <c r="J5" s="63"/>
      <c r="K5" s="63"/>
      <c r="L5" s="64"/>
      <c r="M5" s="64"/>
      <c r="N5" s="172"/>
      <c r="O5" s="64"/>
      <c r="P5" s="64"/>
      <c r="Q5" s="195"/>
      <c r="R5" s="195"/>
      <c r="S5" s="29" t="s">
        <v>91</v>
      </c>
      <c r="T5" s="43" t="str">
        <f>+'P&amp;L'!$T$5</f>
        <v>BASE</v>
      </c>
      <c r="U5" s="27"/>
      <c r="V5" s="27"/>
      <c r="W5" s="27"/>
    </row>
    <row r="6" spans="1:28" ht="16.2" x14ac:dyDescent="0.45">
      <c r="A6" s="2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"/>
      <c r="Y6" s="2"/>
      <c r="Z6" s="2"/>
      <c r="AA6" s="2"/>
      <c r="AB6" s="2"/>
    </row>
    <row r="7" spans="1:28" ht="16.2" x14ac:dyDescent="0.45">
      <c r="A7" s="2"/>
      <c r="B7" s="66" t="s">
        <v>2</v>
      </c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27"/>
      <c r="T7" s="27"/>
      <c r="U7" s="27"/>
      <c r="V7" s="27"/>
      <c r="W7" s="27"/>
      <c r="X7" s="2"/>
      <c r="Y7" s="2"/>
      <c r="Z7" s="2"/>
      <c r="AA7" s="2"/>
      <c r="AB7" s="2"/>
    </row>
    <row r="8" spans="1:28" ht="16.2" x14ac:dyDescent="0.45">
      <c r="A8" s="2"/>
      <c r="B8" s="29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27"/>
      <c r="T8" s="27"/>
      <c r="U8" s="27"/>
      <c r="V8" s="27"/>
      <c r="W8" s="27"/>
      <c r="X8" s="2"/>
      <c r="Y8" s="2"/>
      <c r="Z8" s="2"/>
      <c r="AA8" s="2"/>
      <c r="AB8" s="2"/>
    </row>
    <row r="9" spans="1:28" ht="16.2" x14ac:dyDescent="0.45">
      <c r="A9" s="2"/>
      <c r="B9" s="68" t="s">
        <v>95</v>
      </c>
      <c r="C9" s="78"/>
      <c r="D9" s="78"/>
      <c r="E9" s="78"/>
      <c r="F9" s="78"/>
      <c r="G9" s="79">
        <f t="shared" ref="G9:I9" si="0">+DATE(YEAR(H9)-1,MONTH(H9),DAY(H9))</f>
        <v>44561</v>
      </c>
      <c r="H9" s="79">
        <f t="shared" si="0"/>
        <v>44926</v>
      </c>
      <c r="I9" s="79">
        <f t="shared" si="0"/>
        <v>45291</v>
      </c>
      <c r="J9" s="79">
        <f>+DATE(YEAR(K9)-1,MONTH(K9),DAY(K9))</f>
        <v>45657</v>
      </c>
      <c r="K9" s="79">
        <f>+DATE(YEAR(Assumptions!$D$10)-1,MONTH(Assumptions!$D$10),DAY(Assumptions!$D$10))</f>
        <v>46022</v>
      </c>
      <c r="L9" s="80">
        <f>+DATE(YEAR(K9)+1,MONTH(K9),DAY(K9))</f>
        <v>46387</v>
      </c>
      <c r="M9" s="80">
        <f t="shared" ref="M9:P9" si="1">+DATE(YEAR(L9)+1,MONTH(L9),DAY(L9))</f>
        <v>46752</v>
      </c>
      <c r="N9" s="80">
        <f t="shared" si="1"/>
        <v>47118</v>
      </c>
      <c r="O9" s="80">
        <f t="shared" si="1"/>
        <v>47483</v>
      </c>
      <c r="P9" s="80">
        <f t="shared" si="1"/>
        <v>47848</v>
      </c>
      <c r="Q9" s="80">
        <f t="shared" ref="Q9" si="2">+DATE(YEAR(P9)+1,MONTH(P9),DAY(P9))</f>
        <v>48213</v>
      </c>
      <c r="R9" s="80">
        <f t="shared" ref="R9" si="3">+DATE(YEAR(Q9)+1,MONTH(Q9),DAY(Q9))</f>
        <v>48579</v>
      </c>
      <c r="S9" s="27"/>
      <c r="T9" s="27"/>
      <c r="U9" s="27"/>
      <c r="V9" s="27"/>
      <c r="W9" s="27"/>
      <c r="X9" s="2"/>
      <c r="Y9" s="2"/>
      <c r="Z9" s="2"/>
      <c r="AA9" s="2"/>
      <c r="AB9" s="2"/>
    </row>
    <row r="10" spans="1:28" ht="16.2" x14ac:dyDescent="0.45">
      <c r="A10" s="2"/>
      <c r="B10" s="29"/>
      <c r="C10" s="78"/>
      <c r="D10" s="78"/>
      <c r="E10" s="78"/>
      <c r="F10" s="78"/>
      <c r="G10" s="81" t="s">
        <v>96</v>
      </c>
      <c r="H10" s="81" t="s">
        <v>96</v>
      </c>
      <c r="I10" s="81" t="s">
        <v>96</v>
      </c>
      <c r="J10" s="81" t="s">
        <v>96</v>
      </c>
      <c r="K10" s="81" t="s">
        <v>96</v>
      </c>
      <c r="L10" s="197" t="s">
        <v>132</v>
      </c>
      <c r="M10" s="197" t="s">
        <v>132</v>
      </c>
      <c r="N10" s="197" t="s">
        <v>132</v>
      </c>
      <c r="O10" s="197" t="s">
        <v>132</v>
      </c>
      <c r="P10" s="197" t="s">
        <v>132</v>
      </c>
      <c r="Q10" s="197" t="s">
        <v>132</v>
      </c>
      <c r="R10" s="197" t="s">
        <v>132</v>
      </c>
      <c r="S10" s="27"/>
      <c r="T10" s="27"/>
      <c r="U10" s="27"/>
      <c r="V10" s="27"/>
      <c r="W10" s="27"/>
      <c r="X10" s="2"/>
      <c r="Y10" s="2"/>
      <c r="Z10" s="2"/>
      <c r="AA10" s="2"/>
      <c r="AB10" s="2"/>
    </row>
    <row r="11" spans="1:28" ht="16.2" x14ac:dyDescent="0.45">
      <c r="A11" s="2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"/>
      <c r="Y11" s="2"/>
      <c r="Z11" s="2"/>
      <c r="AA11" s="2"/>
      <c r="AB11" s="2"/>
    </row>
    <row r="12" spans="1:28" ht="16.2" x14ac:dyDescent="0.45">
      <c r="A12" s="2"/>
      <c r="B12" s="27" t="s">
        <v>4</v>
      </c>
      <c r="C12" s="27"/>
      <c r="D12" s="27"/>
      <c r="E12" s="27"/>
      <c r="F12" s="27"/>
      <c r="G12" s="75"/>
      <c r="H12" s="75">
        <f>+'P&amp;L'!H$34</f>
        <v>9195</v>
      </c>
      <c r="I12" s="75">
        <f>+'P&amp;L'!I$34</f>
        <v>13561</v>
      </c>
      <c r="J12" s="75">
        <f>+'P&amp;L'!J$34</f>
        <v>13885</v>
      </c>
      <c r="K12" s="75">
        <f>+'P&amp;L'!K$34</f>
        <v>12043</v>
      </c>
      <c r="L12" s="75">
        <f ca="1">+'P&amp;L'!L$34</f>
        <v>12212.307264999998</v>
      </c>
      <c r="M12" s="75">
        <f ca="1">+'P&amp;L'!M$34</f>
        <v>12908.198773550004</v>
      </c>
      <c r="N12" s="75">
        <f ca="1">+'P&amp;L'!N$34</f>
        <v>15813.688832567503</v>
      </c>
      <c r="O12" s="75">
        <f ca="1">+'P&amp;L'!O$34</f>
        <v>16588.580267070884</v>
      </c>
      <c r="P12" s="75">
        <f ca="1">+'P&amp;L'!P$34</f>
        <v>17401.347657907554</v>
      </c>
      <c r="Q12" s="75">
        <f ca="1">+'P&amp;L'!Q$34</f>
        <v>18253.83702904762</v>
      </c>
      <c r="R12" s="75">
        <f ca="1">+'P&amp;L'!R$34</f>
        <v>19147.984078098161</v>
      </c>
      <c r="S12" s="27"/>
      <c r="T12" s="27"/>
      <c r="U12" s="27"/>
      <c r="V12" s="27"/>
      <c r="W12" s="27"/>
      <c r="X12" s="2"/>
      <c r="Y12" s="2"/>
      <c r="Z12" s="2"/>
      <c r="AA12" s="2"/>
      <c r="AB12" s="2"/>
    </row>
    <row r="13" spans="1:28" ht="16.2" x14ac:dyDescent="0.45">
      <c r="A13" s="2"/>
      <c r="B13" s="27" t="s">
        <v>5</v>
      </c>
      <c r="C13" s="27"/>
      <c r="D13" s="27"/>
      <c r="E13" s="27"/>
      <c r="F13" s="27"/>
      <c r="G13" s="75"/>
      <c r="H13" s="75">
        <f>+'P&amp;L'!H$37</f>
        <v>-2067</v>
      </c>
      <c r="I13" s="75">
        <f>+'P&amp;L'!I$37</f>
        <v>-2781</v>
      </c>
      <c r="J13" s="75">
        <f>+'P&amp;L'!J$37</f>
        <v>-2629</v>
      </c>
      <c r="K13" s="75">
        <f>+'P&amp;L'!K$37</f>
        <v>-2768</v>
      </c>
      <c r="L13" s="75">
        <f ca="1">+'P&amp;L'!L$37</f>
        <v>-1927.6335256499995</v>
      </c>
      <c r="M13" s="75">
        <f ca="1">+'P&amp;L'!M$37</f>
        <v>-2109.3775700213046</v>
      </c>
      <c r="N13" s="75">
        <f ca="1">+'P&amp;L'!N$37</f>
        <v>-2757.6297879210897</v>
      </c>
      <c r="O13" s="75">
        <f ca="1">+'P&amp;L'!O$37</f>
        <v>-2961.1232460583374</v>
      </c>
      <c r="P13" s="75">
        <f ca="1">+'P&amp;L'!P$37</f>
        <v>-3175.4242930079836</v>
      </c>
      <c r="Q13" s="75">
        <f ca="1">+'P&amp;L'!Q$37</f>
        <v>-3401.1203484625194</v>
      </c>
      <c r="R13" s="75">
        <f ca="1">+'P&amp;L'!R$37</f>
        <v>-3638.8316464043137</v>
      </c>
      <c r="S13" s="27"/>
      <c r="T13" s="27"/>
      <c r="U13" s="27"/>
      <c r="V13" s="27"/>
      <c r="W13" s="27"/>
      <c r="X13" s="2"/>
      <c r="Y13" s="2"/>
      <c r="Z13" s="2"/>
      <c r="AA13" s="2"/>
      <c r="AB13" s="2"/>
    </row>
    <row r="14" spans="1:28" s="5" customFormat="1" ht="16.2" x14ac:dyDescent="0.45">
      <c r="A14" s="1"/>
      <c r="B14" s="153" t="s">
        <v>190</v>
      </c>
      <c r="C14" s="153"/>
      <c r="D14" s="153"/>
      <c r="E14" s="153"/>
      <c r="F14" s="153"/>
      <c r="G14" s="154"/>
      <c r="H14" s="154">
        <f t="shared" ref="H14:K14" si="4">+H12+H13</f>
        <v>7128</v>
      </c>
      <c r="I14" s="154">
        <f t="shared" si="4"/>
        <v>10780</v>
      </c>
      <c r="J14" s="154">
        <f t="shared" si="4"/>
        <v>11256</v>
      </c>
      <c r="K14" s="154">
        <f t="shared" si="4"/>
        <v>9275</v>
      </c>
      <c r="L14" s="154">
        <f t="shared" ref="L14" ca="1" si="5">+L12+L13</f>
        <v>10284.673739349999</v>
      </c>
      <c r="M14" s="154">
        <f t="shared" ref="M14" ca="1" si="6">+M12+M13</f>
        <v>10798.8212035287</v>
      </c>
      <c r="N14" s="154">
        <f t="shared" ref="N14" ca="1" si="7">+N12+N13</f>
        <v>13056.059044646412</v>
      </c>
      <c r="O14" s="154">
        <f t="shared" ref="O14" ca="1" si="8">+O12+O13</f>
        <v>13627.457021012546</v>
      </c>
      <c r="P14" s="154">
        <f t="shared" ref="P14:R14" ca="1" si="9">+P12+P13</f>
        <v>14225.923364899571</v>
      </c>
      <c r="Q14" s="154">
        <f t="shared" ca="1" si="9"/>
        <v>14852.716680585101</v>
      </c>
      <c r="R14" s="154">
        <f t="shared" ca="1" si="9"/>
        <v>15509.152431693848</v>
      </c>
      <c r="S14" s="29"/>
      <c r="T14" s="29"/>
      <c r="U14" s="29"/>
      <c r="V14" s="29"/>
      <c r="W14" s="29"/>
      <c r="X14" s="1"/>
      <c r="Y14" s="1"/>
      <c r="Z14" s="1"/>
      <c r="AA14" s="1"/>
      <c r="AB14" s="1"/>
    </row>
    <row r="15" spans="1:28" ht="16.2" x14ac:dyDescent="0.45">
      <c r="A15" s="2"/>
      <c r="B15" s="87" t="s">
        <v>191</v>
      </c>
      <c r="C15" s="87"/>
      <c r="D15" s="87"/>
      <c r="E15" s="87"/>
      <c r="F15" s="87"/>
      <c r="G15" s="152"/>
      <c r="H15" s="152">
        <f>+'P&amp;L'!H$32*-1</f>
        <v>2219</v>
      </c>
      <c r="I15" s="152">
        <f>+'P&amp;L'!I$32*-1</f>
        <v>2144</v>
      </c>
      <c r="J15" s="152">
        <f>+'P&amp;L'!J$32*-1</f>
        <v>2153</v>
      </c>
      <c r="K15" s="152">
        <f>+'P&amp;L'!K$32*-1</f>
        <v>2262</v>
      </c>
      <c r="L15" s="152">
        <f ca="1">+'P&amp;L'!L$32*-1</f>
        <v>2649.5</v>
      </c>
      <c r="M15" s="152">
        <f ca="1">+'P&amp;L'!M$32*-1</f>
        <v>2993.9349999999999</v>
      </c>
      <c r="N15" s="152">
        <f ca="1">+'P&amp;L'!N$32*-1</f>
        <v>3158.6014250000003</v>
      </c>
      <c r="O15" s="152">
        <f ca="1">+'P&amp;L'!O$32*-1</f>
        <v>3332.3245033749999</v>
      </c>
      <c r="P15" s="152">
        <f ca="1">+'P&amp;L'!P$32*-1</f>
        <v>3515.6023510606251</v>
      </c>
      <c r="Q15" s="152">
        <f ca="1">+'P&amp;L'!Q$32*-1</f>
        <v>3708.9604803689595</v>
      </c>
      <c r="R15" s="152">
        <f ca="1">+'P&amp;L'!R$32*-1</f>
        <v>3912.953306789253</v>
      </c>
      <c r="S15" s="27"/>
      <c r="T15" s="27"/>
      <c r="U15" s="27"/>
      <c r="V15" s="27"/>
      <c r="W15" s="27"/>
      <c r="X15" s="2"/>
      <c r="Y15" s="2"/>
      <c r="Z15" s="2"/>
      <c r="AA15" s="2"/>
      <c r="AB15" s="2"/>
    </row>
    <row r="16" spans="1:28" ht="16.2" x14ac:dyDescent="0.45">
      <c r="A16" s="2"/>
      <c r="B16" s="27" t="s">
        <v>192</v>
      </c>
      <c r="C16" s="27"/>
      <c r="D16" s="27"/>
      <c r="E16" s="27"/>
      <c r="F16" s="27"/>
      <c r="G16" s="75"/>
      <c r="H16" s="75">
        <f t="shared" ref="H16:K16" si="10">+SUM(H14:H15)</f>
        <v>9347</v>
      </c>
      <c r="I16" s="75">
        <f t="shared" si="10"/>
        <v>12924</v>
      </c>
      <c r="J16" s="75">
        <f t="shared" si="10"/>
        <v>13409</v>
      </c>
      <c r="K16" s="75">
        <f t="shared" si="10"/>
        <v>11537</v>
      </c>
      <c r="L16" s="75">
        <f ca="1">+SUM(L14:L15)</f>
        <v>12934.173739349999</v>
      </c>
      <c r="M16" s="75">
        <f t="shared" ref="M16" ca="1" si="11">+SUM(M14:M15)</f>
        <v>13792.756203528699</v>
      </c>
      <c r="N16" s="75">
        <f t="shared" ref="N16" ca="1" si="12">+SUM(N14:N15)</f>
        <v>16214.660469646413</v>
      </c>
      <c r="O16" s="75">
        <f t="shared" ref="O16" ca="1" si="13">+SUM(O14:O15)</f>
        <v>16959.781524387545</v>
      </c>
      <c r="P16" s="75">
        <f t="shared" ref="P16:R16" ca="1" si="14">+SUM(P14:P15)</f>
        <v>17741.525715960197</v>
      </c>
      <c r="Q16" s="75">
        <f t="shared" ca="1" si="14"/>
        <v>18561.677160954059</v>
      </c>
      <c r="R16" s="75">
        <f t="shared" ca="1" si="14"/>
        <v>19422.1057384831</v>
      </c>
      <c r="S16" s="27"/>
      <c r="T16" s="27"/>
      <c r="U16" s="27"/>
      <c r="V16" s="27"/>
      <c r="W16" s="27"/>
      <c r="X16" s="2"/>
      <c r="Y16" s="2"/>
      <c r="Z16" s="2"/>
      <c r="AA16" s="2"/>
      <c r="AB16" s="2"/>
    </row>
    <row r="17" spans="1:28" ht="16.2" x14ac:dyDescent="0.45">
      <c r="A17" s="2"/>
      <c r="B17" s="27"/>
      <c r="C17" s="27"/>
      <c r="D17" s="27"/>
      <c r="E17" s="27"/>
      <c r="F17" s="27"/>
      <c r="G17" s="75"/>
      <c r="H17" s="75"/>
      <c r="I17" s="76"/>
      <c r="J17" s="76"/>
      <c r="K17" s="76"/>
      <c r="L17" s="27"/>
      <c r="M17" s="75"/>
      <c r="N17" s="75"/>
      <c r="O17" s="75"/>
      <c r="P17" s="75"/>
      <c r="Q17" s="75"/>
      <c r="R17" s="75"/>
      <c r="S17" s="27"/>
      <c r="T17" s="27"/>
      <c r="U17" s="27"/>
      <c r="V17" s="27"/>
      <c r="W17" s="27"/>
      <c r="X17" s="2"/>
      <c r="Y17" s="2"/>
      <c r="Z17" s="2"/>
      <c r="AA17" s="2"/>
      <c r="AB17" s="2"/>
    </row>
    <row r="18" spans="1:28" ht="16.2" x14ac:dyDescent="0.45">
      <c r="A18" s="2"/>
      <c r="B18" s="27" t="s">
        <v>146</v>
      </c>
      <c r="C18" s="27"/>
      <c r="D18" s="27"/>
      <c r="E18" s="27"/>
      <c r="F18" s="27"/>
      <c r="G18" s="75"/>
      <c r="H18" s="75">
        <f>+('Balance Sheet '!H$25-'Balance Sheet '!G$25)*-1</f>
        <v>-494</v>
      </c>
      <c r="I18" s="75">
        <f>+('Balance Sheet '!I$25-'Balance Sheet '!H$25)*-1</f>
        <v>-951</v>
      </c>
      <c r="J18" s="75">
        <f>+('Balance Sheet '!J$25-'Balance Sheet '!I$25)*-1</f>
        <v>-27</v>
      </c>
      <c r="K18" s="75">
        <f>+('Balance Sheet '!K$25-'Balance Sheet '!J$25)*-1</f>
        <v>-2722</v>
      </c>
      <c r="L18" s="75">
        <f ca="1">+('Balance Sheet '!L$25-'Balance Sheet '!K$25)*-1</f>
        <v>566.41265753424523</v>
      </c>
      <c r="M18" s="75">
        <f ca="1">+('Balance Sheet '!M$25-'Balance Sheet '!L$25)*-1</f>
        <v>-1470.1811139726051</v>
      </c>
      <c r="N18" s="75">
        <f ca="1">+('Balance Sheet '!N$25-'Balance Sheet '!M$25)*-1</f>
        <v>-1123.6384228219176</v>
      </c>
      <c r="O18" s="75">
        <f ca="1">+('Balance Sheet '!O$25-'Balance Sheet '!N$25)*-1</f>
        <v>-1179.8203439630161</v>
      </c>
      <c r="P18" s="75">
        <f ca="1">+('Balance Sheet '!P$25-'Balance Sheet '!O$25)*-1</f>
        <v>-1238.8113611611661</v>
      </c>
      <c r="Q18" s="75">
        <f ca="1">+('Balance Sheet '!Q$25-'Balance Sheet '!P$25)*-1</f>
        <v>-1300.7519292192264</v>
      </c>
      <c r="R18" s="75">
        <f ca="1">+('Balance Sheet '!R$25-'Balance Sheet '!Q$25)*-1</f>
        <v>-1365.7895256801821</v>
      </c>
      <c r="S18" s="27"/>
      <c r="T18" s="27"/>
      <c r="U18" s="27"/>
      <c r="V18" s="27"/>
      <c r="W18" s="27"/>
      <c r="X18" s="2"/>
      <c r="Y18" s="2"/>
      <c r="Z18" s="2"/>
      <c r="AA18" s="2"/>
      <c r="AB18" s="2"/>
    </row>
    <row r="19" spans="1:28" ht="16.2" x14ac:dyDescent="0.45">
      <c r="A19" s="2"/>
      <c r="B19" s="27" t="s">
        <v>87</v>
      </c>
      <c r="C19" s="27"/>
      <c r="D19" s="27"/>
      <c r="E19" s="27"/>
      <c r="F19" s="27"/>
      <c r="G19" s="75"/>
      <c r="H19" s="75">
        <f>+'Balance Sheet '!H$24-'Balance Sheet '!G$24</f>
        <v>2232</v>
      </c>
      <c r="I19" s="75">
        <f>+'Balance Sheet '!I$24-'Balance Sheet '!H$24</f>
        <v>295</v>
      </c>
      <c r="J19" s="75">
        <f>+'Balance Sheet '!J$24-'Balance Sheet '!I$24</f>
        <v>262</v>
      </c>
      <c r="K19" s="75">
        <f>+'Balance Sheet '!K$24-'Balance Sheet '!J$24</f>
        <v>1308</v>
      </c>
      <c r="L19" s="75">
        <f ca="1">+'Balance Sheet '!L$24-'Balance Sheet '!K$24</f>
        <v>434.45741260274372</v>
      </c>
      <c r="M19" s="75">
        <f ca="1">+'Balance Sheet '!M$24-'Balance Sheet '!L$24</f>
        <v>1299.8620188821915</v>
      </c>
      <c r="N19" s="75">
        <f ca="1">+'Balance Sheet '!N$24-'Balance Sheet '!M$24</f>
        <v>45.157544162470003</v>
      </c>
      <c r="O19" s="75">
        <f ca="1">+'Balance Sheet '!O$24-'Balance Sheet '!N$24</f>
        <v>995.72384878236699</v>
      </c>
      <c r="P19" s="75">
        <f ca="1">+'Balance Sheet '!P$24-'Balance Sheet '!O$24</f>
        <v>1045.5100412214888</v>
      </c>
      <c r="Q19" s="75">
        <f ca="1">+'Balance Sheet '!Q$24-'Balance Sheet '!P$24</f>
        <v>1097.7855432825672</v>
      </c>
      <c r="R19" s="75">
        <f ca="1">+'Balance Sheet '!R$24-'Balance Sheet '!Q$24</f>
        <v>1152.6748204466894</v>
      </c>
      <c r="S19" s="27"/>
      <c r="T19" s="27"/>
      <c r="U19" s="27"/>
      <c r="V19" s="27"/>
      <c r="W19" s="27"/>
      <c r="X19" s="2"/>
      <c r="Y19" s="2"/>
      <c r="Z19" s="2"/>
      <c r="AA19" s="2"/>
      <c r="AB19" s="2"/>
    </row>
    <row r="20" spans="1:28" ht="16.2" x14ac:dyDescent="0.45">
      <c r="A20" s="2"/>
      <c r="B20" s="27" t="s">
        <v>147</v>
      </c>
      <c r="C20" s="27"/>
      <c r="D20" s="27"/>
      <c r="E20" s="27"/>
      <c r="F20" s="27"/>
      <c r="G20" s="75"/>
      <c r="H20" s="75">
        <f>+'Balance Sheet '!H$36-'Balance Sheet '!G$36</f>
        <v>535</v>
      </c>
      <c r="I20" s="75">
        <f>+'Balance Sheet '!I$36-'Balance Sheet '!H$36</f>
        <v>-783</v>
      </c>
      <c r="J20" s="75">
        <f>+'Balance Sheet '!J$36-'Balance Sheet '!I$36</f>
        <v>-231</v>
      </c>
      <c r="K20" s="75">
        <f>+'Balance Sheet '!K$36-'Balance Sheet '!J$36</f>
        <v>1293</v>
      </c>
      <c r="L20" s="75">
        <f ca="1">+'Balance Sheet '!L$36-'Balance Sheet '!K$36</f>
        <v>316.72870630137186</v>
      </c>
      <c r="M20" s="75">
        <f ca="1">+'Balance Sheet '!M$36-'Balance Sheet '!L$36</f>
        <v>649.93100944109574</v>
      </c>
      <c r="N20" s="75">
        <f ca="1">+'Balance Sheet '!N$36-'Balance Sheet '!M$36</f>
        <v>22.578772081235002</v>
      </c>
      <c r="O20" s="75">
        <f ca="1">+'Balance Sheet '!O$36-'Balance Sheet '!N$36</f>
        <v>497.86192439118349</v>
      </c>
      <c r="P20" s="75">
        <f ca="1">+'Balance Sheet '!P$36-'Balance Sheet '!O$36</f>
        <v>522.7550206107444</v>
      </c>
      <c r="Q20" s="75">
        <f ca="1">+'Balance Sheet '!Q$36-'Balance Sheet '!P$36</f>
        <v>548.89277164128362</v>
      </c>
      <c r="R20" s="75">
        <f ca="1">+'Balance Sheet '!R$36-'Balance Sheet '!Q$36</f>
        <v>576.3374102233447</v>
      </c>
      <c r="S20" s="27"/>
      <c r="T20" s="27"/>
      <c r="U20" s="27"/>
      <c r="V20" s="27"/>
      <c r="W20" s="27"/>
      <c r="X20" s="2"/>
      <c r="Y20" s="2"/>
      <c r="Z20" s="2"/>
      <c r="AA20" s="2"/>
      <c r="AB20" s="2"/>
    </row>
    <row r="21" spans="1:28" s="5" customFormat="1" ht="16.2" x14ac:dyDescent="0.45">
      <c r="A21" s="1"/>
      <c r="B21" s="153" t="s">
        <v>193</v>
      </c>
      <c r="C21" s="153"/>
      <c r="D21" s="153"/>
      <c r="E21" s="153"/>
      <c r="F21" s="153"/>
      <c r="G21" s="154"/>
      <c r="H21" s="154">
        <f>+SUM(H18:H20)</f>
        <v>2273</v>
      </c>
      <c r="I21" s="154">
        <f t="shared" ref="I21:K21" si="15">+SUM(I18:I20)</f>
        <v>-1439</v>
      </c>
      <c r="J21" s="154">
        <f t="shared" si="15"/>
        <v>4</v>
      </c>
      <c r="K21" s="154">
        <f>+SUM(K18:K20)</f>
        <v>-121</v>
      </c>
      <c r="L21" s="154">
        <f ca="1">+SUM(L18:L20)</f>
        <v>1317.5987764383608</v>
      </c>
      <c r="M21" s="154">
        <f t="shared" ref="M21" ca="1" si="16">+SUM(M18:M20)</f>
        <v>479.61191435068213</v>
      </c>
      <c r="N21" s="154">
        <f t="shared" ref="N21" ca="1" si="17">+SUM(N18:N20)</f>
        <v>-1055.9021065782126</v>
      </c>
      <c r="O21" s="154">
        <f t="shared" ref="O21" ca="1" si="18">+SUM(O18:O20)</f>
        <v>313.76542921053442</v>
      </c>
      <c r="P21" s="154">
        <f t="shared" ref="P21:R21" ca="1" si="19">+SUM(P18:P20)</f>
        <v>329.45370067106705</v>
      </c>
      <c r="Q21" s="154">
        <f t="shared" ca="1" si="19"/>
        <v>345.92638570462441</v>
      </c>
      <c r="R21" s="154">
        <f t="shared" ca="1" si="19"/>
        <v>363.22270498985199</v>
      </c>
      <c r="S21" s="29"/>
      <c r="T21" s="29"/>
      <c r="U21" s="29"/>
      <c r="V21" s="29"/>
      <c r="W21" s="29"/>
      <c r="X21" s="1"/>
      <c r="Y21" s="1"/>
      <c r="Z21" s="1"/>
      <c r="AA21" s="1"/>
      <c r="AB21" s="1"/>
    </row>
    <row r="22" spans="1:28" ht="16.2" x14ac:dyDescent="0.45">
      <c r="A22" s="2"/>
      <c r="B22" s="29"/>
      <c r="C22" s="27"/>
      <c r="D22" s="27"/>
      <c r="E22" s="27"/>
      <c r="F22" s="27"/>
      <c r="G22" s="75"/>
      <c r="H22" s="75"/>
      <c r="I22" s="76"/>
      <c r="J22" s="76"/>
      <c r="K22" s="76"/>
      <c r="L22" s="75"/>
      <c r="M22" s="75"/>
      <c r="N22" s="75"/>
      <c r="O22" s="75"/>
      <c r="P22" s="75"/>
      <c r="Q22" s="75"/>
      <c r="R22" s="75"/>
      <c r="S22" s="27"/>
      <c r="T22" s="27"/>
      <c r="U22" s="27"/>
      <c r="V22" s="27"/>
      <c r="W22" s="27"/>
      <c r="X22" s="2"/>
      <c r="Y22" s="2"/>
      <c r="Z22" s="2"/>
      <c r="AA22" s="2"/>
      <c r="AB22" s="2"/>
    </row>
    <row r="23" spans="1:28" ht="16.2" x14ac:dyDescent="0.45">
      <c r="A23" s="2"/>
      <c r="B23" s="27" t="s">
        <v>90</v>
      </c>
      <c r="C23" s="27"/>
      <c r="D23" s="27"/>
      <c r="E23" s="27"/>
      <c r="F23" s="27"/>
      <c r="G23" s="75"/>
      <c r="H23" s="75">
        <f>+('Balance Sheet '!H21-'Balance Sheet '!G21)*-1+'P&amp;L'!H32</f>
        <v>-2157</v>
      </c>
      <c r="I23" s="75">
        <f>+('Balance Sheet '!I21-'Balance Sheet '!H21)*-1+'P&amp;L'!I32</f>
        <v>-2796</v>
      </c>
      <c r="J23" s="75">
        <f>+('Balance Sheet '!J21-'Balance Sheet '!I21)*-1+'P&amp;L'!J32</f>
        <v>-2834</v>
      </c>
      <c r="K23" s="75">
        <f>+('Balance Sheet '!K21-'Balance Sheet '!J21)*-1+'P&amp;L'!K32</f>
        <v>-4041</v>
      </c>
      <c r="L23" s="75">
        <f ca="1">+'Balance Sheet '!L$48*-1</f>
        <v>-4617.7</v>
      </c>
      <c r="M23" s="75">
        <f ca="1">+'Balance Sheet '!M$48*-1</f>
        <v>-3934.8860000000004</v>
      </c>
      <c r="N23" s="75">
        <f ca="1">+'Balance Sheet '!N$48*-1</f>
        <v>-4151.3047300000007</v>
      </c>
      <c r="O23" s="75">
        <f ca="1">+'Balance Sheet '!O$48*-1</f>
        <v>-4379.6264901500008</v>
      </c>
      <c r="P23" s="75">
        <f ca="1">+'Balance Sheet '!P$48*-1</f>
        <v>-4620.5059471082504</v>
      </c>
      <c r="Q23" s="75">
        <f ca="1">+'Balance Sheet '!Q$48*-1</f>
        <v>-4874.6337741992047</v>
      </c>
      <c r="R23" s="75">
        <f ca="1">+'Balance Sheet '!R$48*-1</f>
        <v>-5142.7386317801611</v>
      </c>
      <c r="S23" s="27"/>
      <c r="T23" s="27"/>
      <c r="U23" s="27"/>
      <c r="V23" s="27"/>
      <c r="W23" s="27"/>
      <c r="X23" s="2"/>
      <c r="Y23" s="2"/>
      <c r="Z23" s="2"/>
      <c r="AA23" s="2"/>
      <c r="AB23" s="2"/>
    </row>
    <row r="24" spans="1:28" ht="16.2" x14ac:dyDescent="0.45">
      <c r="A24" s="2"/>
      <c r="B24" s="27" t="s">
        <v>179</v>
      </c>
      <c r="C24" s="27"/>
      <c r="D24" s="27"/>
      <c r="E24" s="27"/>
      <c r="F24" s="27"/>
      <c r="G24" s="75"/>
      <c r="H24" s="75">
        <f>+('Balance Sheet '!H22-'Balance Sheet '!G22)*-1</f>
        <v>1320</v>
      </c>
      <c r="I24" s="75">
        <f>+('Balance Sheet '!I22-'Balance Sheet '!H22)*-1</f>
        <v>174</v>
      </c>
      <c r="J24" s="75">
        <f>+('Balance Sheet '!J22-'Balance Sheet '!I22)*-1</f>
        <v>232</v>
      </c>
      <c r="K24" s="75">
        <f>+('Balance Sheet '!K22-'Balance Sheet '!J22)*-1</f>
        <v>78</v>
      </c>
      <c r="L24" s="75">
        <f>+('Balance Sheet '!L22-'Balance Sheet '!K22)*-1</f>
        <v>0</v>
      </c>
      <c r="M24" s="75">
        <f>+('Balance Sheet '!M22-'Balance Sheet '!L22)*-1</f>
        <v>0</v>
      </c>
      <c r="N24" s="75">
        <f>+('Balance Sheet '!N22-'Balance Sheet '!M22)*-1</f>
        <v>0</v>
      </c>
      <c r="O24" s="75">
        <f>+('Balance Sheet '!O22-'Balance Sheet '!N22)*-1</f>
        <v>0</v>
      </c>
      <c r="P24" s="75">
        <f>+('Balance Sheet '!P22-'Balance Sheet '!O22)*-1</f>
        <v>0</v>
      </c>
      <c r="Q24" s="75">
        <f>+('Balance Sheet '!Q22-'Balance Sheet '!P22)*-1</f>
        <v>0</v>
      </c>
      <c r="R24" s="75">
        <f>+('Balance Sheet '!R22-'Balance Sheet '!Q22)*-1</f>
        <v>0</v>
      </c>
      <c r="S24" s="27"/>
      <c r="T24" s="27"/>
      <c r="U24" s="27"/>
      <c r="V24" s="27"/>
      <c r="W24" s="27"/>
      <c r="X24" s="2"/>
      <c r="Y24" s="2"/>
      <c r="Z24" s="2"/>
      <c r="AA24" s="2"/>
      <c r="AB24" s="2"/>
    </row>
    <row r="25" spans="1:28" ht="16.2" x14ac:dyDescent="0.45">
      <c r="A25" s="2"/>
      <c r="B25" s="27" t="s">
        <v>180</v>
      </c>
      <c r="C25" s="87"/>
      <c r="D25" s="87"/>
      <c r="E25" s="87"/>
      <c r="F25" s="87"/>
      <c r="G25" s="152"/>
      <c r="H25" s="152">
        <f>+('Balance Sheet '!H35-'Balance Sheet '!G35)+('Balance Sheet '!H37-'Balance Sheet '!G37)</f>
        <v>36</v>
      </c>
      <c r="I25" s="152">
        <f>+('Balance Sheet '!I35-'Balance Sheet '!H35)+('Balance Sheet '!I37-'Balance Sheet '!H37)</f>
        <v>1819</v>
      </c>
      <c r="J25" s="152">
        <f>+('Balance Sheet '!J35-'Balance Sheet '!I35)+('Balance Sheet '!J37-'Balance Sheet '!I37)</f>
        <v>-3</v>
      </c>
      <c r="K25" s="152">
        <f>+('Balance Sheet '!K35-'Balance Sheet '!J35)+('Balance Sheet '!K37-'Balance Sheet '!J37)</f>
        <v>2783</v>
      </c>
      <c r="L25" s="152">
        <f>+('Balance Sheet '!L35-'Balance Sheet '!K35)+('Balance Sheet '!L37-'Balance Sheet '!K37)</f>
        <v>0</v>
      </c>
      <c r="M25" s="152">
        <f>+('Balance Sheet '!M35-'Balance Sheet '!L35)+('Balance Sheet '!M37-'Balance Sheet '!L37)</f>
        <v>0</v>
      </c>
      <c r="N25" s="152">
        <f>+('Balance Sheet '!N35-'Balance Sheet '!M35)+('Balance Sheet '!N37-'Balance Sheet '!M37)</f>
        <v>0</v>
      </c>
      <c r="O25" s="152">
        <f>+('Balance Sheet '!O35-'Balance Sheet '!N35)+('Balance Sheet '!O37-'Balance Sheet '!N37)</f>
        <v>0</v>
      </c>
      <c r="P25" s="152">
        <f>+('Balance Sheet '!P35-'Balance Sheet '!O35)+('Balance Sheet '!P37-'Balance Sheet '!O37)</f>
        <v>0</v>
      </c>
      <c r="Q25" s="152">
        <f>+('Balance Sheet '!Q35-'Balance Sheet '!P35)+('Balance Sheet '!Q37-'Balance Sheet '!P37)</f>
        <v>0</v>
      </c>
      <c r="R25" s="152">
        <f>+('Balance Sheet '!R35-'Balance Sheet '!Q35)+('Balance Sheet '!R37-'Balance Sheet '!Q37)</f>
        <v>0</v>
      </c>
      <c r="S25" s="27"/>
      <c r="T25" s="27"/>
      <c r="U25" s="27"/>
      <c r="V25" s="27"/>
      <c r="W25" s="27"/>
      <c r="X25" s="2"/>
      <c r="Y25" s="2"/>
      <c r="Z25" s="2"/>
      <c r="AA25" s="2"/>
      <c r="AB25" s="2"/>
    </row>
    <row r="26" spans="1:28" s="5" customFormat="1" ht="16.2" x14ac:dyDescent="0.45">
      <c r="A26" s="1"/>
      <c r="B26" s="177" t="s">
        <v>168</v>
      </c>
      <c r="C26" s="178"/>
      <c r="D26" s="178"/>
      <c r="E26" s="178"/>
      <c r="F26" s="178"/>
      <c r="G26" s="179"/>
      <c r="H26" s="179">
        <f>+H16+H21+SUM(H23:H25)</f>
        <v>10819</v>
      </c>
      <c r="I26" s="179">
        <f t="shared" ref="I26:K26" si="20">+I16+I21+SUM(I23:I25)</f>
        <v>10682</v>
      </c>
      <c r="J26" s="179">
        <f t="shared" si="20"/>
        <v>10808</v>
      </c>
      <c r="K26" s="179">
        <f t="shared" si="20"/>
        <v>10236</v>
      </c>
      <c r="L26" s="179">
        <f ca="1">+L16+L21+SUM(L23:L25)</f>
        <v>9634.0725157883608</v>
      </c>
      <c r="M26" s="179">
        <f t="shared" ref="M26" ca="1" si="21">+M16+M21+SUM(M23:M25)</f>
        <v>10337.482117879381</v>
      </c>
      <c r="N26" s="179">
        <f t="shared" ref="N26" ca="1" si="22">+N16+N21+SUM(N23:N25)</f>
        <v>11007.453633068199</v>
      </c>
      <c r="O26" s="179">
        <f t="shared" ref="O26" ca="1" si="23">+O16+O21+SUM(O23:O25)</f>
        <v>12893.920463448081</v>
      </c>
      <c r="P26" s="179">
        <f t="shared" ref="P26:R26" ca="1" si="24">+P16+P21+SUM(P23:P25)</f>
        <v>13450.473469523015</v>
      </c>
      <c r="Q26" s="179">
        <f t="shared" ca="1" si="24"/>
        <v>14032.969772459479</v>
      </c>
      <c r="R26" s="179">
        <f t="shared" ca="1" si="24"/>
        <v>14642.589811692789</v>
      </c>
      <c r="S26" s="29"/>
      <c r="T26" s="29"/>
      <c r="U26" s="29"/>
      <c r="V26" s="29"/>
      <c r="W26" s="29"/>
      <c r="X26" s="1"/>
      <c r="Y26" s="1"/>
      <c r="Z26" s="1"/>
      <c r="AA26" s="1"/>
      <c r="AB26" s="1"/>
    </row>
    <row r="27" spans="1:28" ht="16.2" x14ac:dyDescent="0.45">
      <c r="A27" s="2"/>
      <c r="B27" s="27" t="s">
        <v>194</v>
      </c>
      <c r="C27" s="27"/>
      <c r="D27" s="27"/>
      <c r="E27" s="27"/>
      <c r="F27" s="27"/>
      <c r="G27" s="75"/>
      <c r="H27" s="75">
        <f>+'P&amp;L'!H$35</f>
        <v>-443</v>
      </c>
      <c r="I27" s="75">
        <f>+'P&amp;L'!I$35</f>
        <v>-511</v>
      </c>
      <c r="J27" s="75">
        <f>+'P&amp;L'!J$35</f>
        <v>-512</v>
      </c>
      <c r="K27" s="75">
        <f>+'P&amp;L'!K$35</f>
        <v>-502</v>
      </c>
      <c r="L27" s="75">
        <f>+'P&amp;L'!L$35</f>
        <v>-3033.1000000000004</v>
      </c>
      <c r="M27" s="75">
        <f>+'P&amp;L'!M$35</f>
        <v>-2863.543678210458</v>
      </c>
      <c r="N27" s="75">
        <f>+'P&amp;L'!N$35</f>
        <v>-2682.1184138956473</v>
      </c>
      <c r="O27" s="75">
        <f>+'P&amp;L'!O$35</f>
        <v>-2487.9933810788002</v>
      </c>
      <c r="P27" s="75">
        <f>+'P&amp;L'!P$35</f>
        <v>-2280.2795959647738</v>
      </c>
      <c r="Q27" s="75">
        <f>+'P&amp;L'!Q$35</f>
        <v>-2058.0258458927651</v>
      </c>
      <c r="R27" s="75">
        <f>+'P&amp;L'!R$35</f>
        <v>-1820.2143333157162</v>
      </c>
      <c r="S27" s="27"/>
      <c r="T27" s="27"/>
      <c r="U27" s="27"/>
      <c r="V27" s="27"/>
      <c r="W27" s="27"/>
      <c r="X27" s="2"/>
      <c r="Y27" s="2"/>
      <c r="Z27" s="2"/>
      <c r="AA27" s="2"/>
      <c r="AB27" s="2"/>
    </row>
    <row r="28" spans="1:28" ht="16.2" x14ac:dyDescent="0.45">
      <c r="A28" s="2"/>
      <c r="B28" s="27" t="s">
        <v>195</v>
      </c>
      <c r="C28" s="27"/>
      <c r="D28" s="27"/>
      <c r="E28" s="27"/>
      <c r="F28" s="27"/>
      <c r="G28" s="75"/>
      <c r="H28" s="75">
        <f>+'Balance Sheet '!H$34-'Balance Sheet '!G$34</f>
        <v>-796</v>
      </c>
      <c r="I28" s="75">
        <f>+'Balance Sheet '!I$34-'Balance Sheet '!H$34</f>
        <v>885</v>
      </c>
      <c r="J28" s="75">
        <f>+'Balance Sheet '!J$34-'Balance Sheet '!I$34</f>
        <v>531</v>
      </c>
      <c r="K28" s="75">
        <f>+'Balance Sheet '!K$34-'Balance Sheet '!J$34</f>
        <v>4921</v>
      </c>
      <c r="L28" s="75">
        <f>+'Balance Sheet '!L$34-'Balance Sheet '!K$34</f>
        <v>-2422.2331684220335</v>
      </c>
      <c r="M28" s="75">
        <f>+'Balance Sheet '!M$34-'Balance Sheet '!L$34</f>
        <v>-2591.7894902115804</v>
      </c>
      <c r="N28" s="75">
        <f>+'Balance Sheet '!N$34-'Balance Sheet '!M$34</f>
        <v>-2773.214754526387</v>
      </c>
      <c r="O28" s="75">
        <f>+'Balance Sheet '!O$34-'Balance Sheet '!N$34</f>
        <v>-2967.3397873432368</v>
      </c>
      <c r="P28" s="75">
        <f>+'Balance Sheet '!P$34-'Balance Sheet '!O$34</f>
        <v>-3175.0535724572619</v>
      </c>
      <c r="Q28" s="75">
        <f>+'Balance Sheet '!Q$34-'Balance Sheet '!P$34</f>
        <v>-3397.3073225292719</v>
      </c>
      <c r="R28" s="75">
        <f>+'Balance Sheet '!R$34-'Balance Sheet '!Q$34</f>
        <v>-3635.1188351063211</v>
      </c>
      <c r="S28" s="27"/>
      <c r="T28" s="27"/>
      <c r="U28" s="27"/>
      <c r="V28" s="27"/>
      <c r="W28" s="27"/>
      <c r="X28" s="2"/>
      <c r="Y28" s="2"/>
      <c r="Z28" s="2"/>
      <c r="AA28" s="2"/>
      <c r="AB28" s="2"/>
    </row>
    <row r="29" spans="1:28" ht="16.2" x14ac:dyDescent="0.45">
      <c r="A29" s="2"/>
      <c r="B29" s="27" t="s">
        <v>196</v>
      </c>
      <c r="C29" s="27"/>
      <c r="D29" s="27"/>
      <c r="E29" s="27"/>
      <c r="F29" s="27"/>
      <c r="G29" s="75"/>
      <c r="H29" s="75"/>
      <c r="I29" s="75"/>
      <c r="J29" s="75"/>
      <c r="K29" s="75"/>
      <c r="L29" s="25"/>
      <c r="M29" s="25"/>
      <c r="N29" s="25"/>
      <c r="O29" s="25"/>
      <c r="P29" s="25"/>
      <c r="Q29" s="25"/>
      <c r="R29" s="25"/>
      <c r="S29" s="27"/>
      <c r="T29" s="27"/>
      <c r="U29" s="27"/>
      <c r="V29" s="27"/>
      <c r="W29" s="27"/>
      <c r="X29" s="2"/>
      <c r="Y29" s="2"/>
      <c r="Z29" s="2"/>
      <c r="AA29" s="2"/>
      <c r="AB29" s="2"/>
    </row>
    <row r="30" spans="1:28" ht="16.2" x14ac:dyDescent="0.45">
      <c r="A30" s="2"/>
      <c r="C30" s="27"/>
      <c r="D30" s="27"/>
      <c r="E30" s="27"/>
      <c r="F30" s="27"/>
      <c r="G30" s="75"/>
      <c r="H30" s="75"/>
      <c r="I30" s="75"/>
      <c r="J30" s="75"/>
      <c r="K30" s="75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"/>
      <c r="Y30" s="2"/>
      <c r="Z30" s="2"/>
      <c r="AA30" s="2"/>
      <c r="AB30" s="2"/>
    </row>
    <row r="31" spans="1:28" ht="16.2" x14ac:dyDescent="0.45">
      <c r="A31" s="2"/>
      <c r="B31" s="27" t="s">
        <v>198</v>
      </c>
      <c r="C31" s="27"/>
      <c r="D31" s="27"/>
      <c r="E31" s="27"/>
      <c r="F31" s="27"/>
      <c r="G31" s="75"/>
      <c r="H31" s="75">
        <f>+H32-SUM(H26:H28)</f>
        <v>-11830</v>
      </c>
      <c r="I31" s="75">
        <f t="shared" ref="I31:J31" si="25">+I32-SUM(I26:I28)</f>
        <v>-11082</v>
      </c>
      <c r="J31" s="75">
        <f t="shared" si="25"/>
        <v>-10916</v>
      </c>
      <c r="K31" s="75">
        <f>+K32-SUM(K26:K28)</f>
        <v>-11564</v>
      </c>
      <c r="L31" s="75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"/>
      <c r="Y31" s="2"/>
      <c r="Z31" s="2"/>
      <c r="AA31" s="2"/>
      <c r="AB31" s="2"/>
    </row>
    <row r="32" spans="1:28" s="5" customFormat="1" ht="16.2" x14ac:dyDescent="0.45">
      <c r="A32" s="1"/>
      <c r="B32" s="29" t="s">
        <v>197</v>
      </c>
      <c r="C32" s="29"/>
      <c r="D32" s="29"/>
      <c r="E32" s="29"/>
      <c r="F32" s="29"/>
      <c r="G32" s="96"/>
      <c r="H32" s="96">
        <f>+H34-H33</f>
        <v>-2250</v>
      </c>
      <c r="I32" s="96">
        <f t="shared" ref="I32:J32" si="26">+I34-I33</f>
        <v>-26</v>
      </c>
      <c r="J32" s="96">
        <f t="shared" si="26"/>
        <v>-89</v>
      </c>
      <c r="K32" s="96">
        <f>+K34-K33</f>
        <v>3091</v>
      </c>
      <c r="L32" s="84">
        <f ca="1">+SUM(L26:L31)</f>
        <v>4178.7393473663269</v>
      </c>
      <c r="M32" s="84">
        <f t="shared" ref="M32:P32" ca="1" si="27">+SUM(M26:M31)</f>
        <v>4882.1489494573425</v>
      </c>
      <c r="N32" s="84">
        <f t="shared" ca="1" si="27"/>
        <v>5552.1204646461647</v>
      </c>
      <c r="O32" s="84">
        <f t="shared" ca="1" si="27"/>
        <v>7438.5872950260436</v>
      </c>
      <c r="P32" s="84">
        <f t="shared" ca="1" si="27"/>
        <v>7995.1403011009788</v>
      </c>
      <c r="Q32" s="84">
        <f t="shared" ref="Q32:R32" ca="1" si="28">+SUM(Q26:Q31)</f>
        <v>8577.6366040374414</v>
      </c>
      <c r="R32" s="84">
        <f t="shared" ca="1" si="28"/>
        <v>9187.2566432707517</v>
      </c>
      <c r="S32" s="29"/>
      <c r="T32" s="29"/>
      <c r="U32" s="29"/>
      <c r="V32" s="29"/>
      <c r="W32" s="29"/>
      <c r="X32" s="1"/>
      <c r="Y32" s="1"/>
      <c r="Z32" s="1"/>
      <c r="AA32" s="1"/>
      <c r="AB32" s="1"/>
    </row>
    <row r="33" spans="1:28" ht="16.2" x14ac:dyDescent="0.45">
      <c r="A33" s="2"/>
      <c r="B33" s="27" t="s">
        <v>6</v>
      </c>
      <c r="C33" s="27"/>
      <c r="D33" s="27"/>
      <c r="E33" s="27"/>
      <c r="F33" s="27"/>
      <c r="G33" s="75"/>
      <c r="H33" s="75">
        <f>+G34</f>
        <v>9254</v>
      </c>
      <c r="I33" s="75">
        <f t="shared" ref="I33:P33" si="29">+H34</f>
        <v>7004</v>
      </c>
      <c r="J33" s="75">
        <f t="shared" si="29"/>
        <v>6978</v>
      </c>
      <c r="K33" s="75">
        <f t="shared" si="29"/>
        <v>6889</v>
      </c>
      <c r="L33" s="75">
        <f t="shared" si="29"/>
        <v>9980</v>
      </c>
      <c r="M33" s="75">
        <f t="shared" ca="1" si="29"/>
        <v>14158.739347366327</v>
      </c>
      <c r="N33" s="75">
        <f t="shared" ca="1" si="29"/>
        <v>19040.888296823668</v>
      </c>
      <c r="O33" s="75">
        <f t="shared" ca="1" si="29"/>
        <v>24593.008761469835</v>
      </c>
      <c r="P33" s="75">
        <f t="shared" ca="1" si="29"/>
        <v>32031.59605649588</v>
      </c>
      <c r="Q33" s="75">
        <f t="shared" ref="Q33" ca="1" si="30">+P34</f>
        <v>40026.736357596863</v>
      </c>
      <c r="R33" s="75">
        <f t="shared" ref="R33" ca="1" si="31">+Q34</f>
        <v>48604.372961634304</v>
      </c>
      <c r="S33" s="27"/>
      <c r="T33" s="27"/>
      <c r="U33" s="27"/>
      <c r="V33" s="27"/>
      <c r="W33" s="27"/>
      <c r="X33" s="2"/>
      <c r="Y33" s="2"/>
      <c r="Z33" s="2"/>
      <c r="AA33" s="2"/>
      <c r="AB33" s="2"/>
    </row>
    <row r="34" spans="1:28" ht="16.8" thickBot="1" x14ac:dyDescent="0.5">
      <c r="A34" s="2"/>
      <c r="B34" s="105" t="s">
        <v>7</v>
      </c>
      <c r="C34" s="106"/>
      <c r="D34" s="106"/>
      <c r="E34" s="106"/>
      <c r="F34" s="106"/>
      <c r="G34" s="155">
        <f>+'Balance Sheet '!G$26</f>
        <v>9254</v>
      </c>
      <c r="H34" s="155">
        <f>+'Balance Sheet '!H$26</f>
        <v>7004</v>
      </c>
      <c r="I34" s="155">
        <f>+'Balance Sheet '!I$26</f>
        <v>6978</v>
      </c>
      <c r="J34" s="155">
        <f>+'Balance Sheet '!J$26</f>
        <v>6889</v>
      </c>
      <c r="K34" s="155">
        <f>+'Balance Sheet '!K$26</f>
        <v>9980</v>
      </c>
      <c r="L34" s="107">
        <f ca="1">+SUM(L32:L33)</f>
        <v>14158.739347366327</v>
      </c>
      <c r="M34" s="107">
        <f t="shared" ref="M34:P34" ca="1" si="32">+SUM(M32:M33)</f>
        <v>19040.888296823668</v>
      </c>
      <c r="N34" s="107">
        <f t="shared" ca="1" si="32"/>
        <v>24593.008761469835</v>
      </c>
      <c r="O34" s="107">
        <f t="shared" ca="1" si="32"/>
        <v>32031.59605649588</v>
      </c>
      <c r="P34" s="107">
        <f t="shared" ca="1" si="32"/>
        <v>40026.736357596863</v>
      </c>
      <c r="Q34" s="107">
        <f t="shared" ref="Q34:R34" ca="1" si="33">+SUM(Q32:Q33)</f>
        <v>48604.372961634304</v>
      </c>
      <c r="R34" s="107">
        <f t="shared" ca="1" si="33"/>
        <v>57791.629604905058</v>
      </c>
      <c r="S34" s="27"/>
      <c r="T34" s="27"/>
      <c r="U34" s="27"/>
      <c r="V34" s="27"/>
      <c r="W34" s="27"/>
      <c r="X34" s="2"/>
      <c r="Y34" s="2"/>
      <c r="Z34" s="2"/>
      <c r="AA34" s="2"/>
      <c r="AB34" s="2"/>
    </row>
    <row r="35" spans="1:28" ht="16.2" x14ac:dyDescent="0.45">
      <c r="A35" s="2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"/>
      <c r="Y35" s="2"/>
      <c r="Z35" s="2"/>
      <c r="AA35" s="2"/>
      <c r="AB35" s="2"/>
    </row>
    <row r="36" spans="1:28" ht="16.2" x14ac:dyDescent="0.45">
      <c r="A36" s="2"/>
      <c r="B36" s="27" t="s">
        <v>199</v>
      </c>
      <c r="C36" s="27"/>
      <c r="D36" s="27"/>
      <c r="E36" s="27"/>
      <c r="F36" s="27"/>
      <c r="G36" s="27"/>
      <c r="H36" s="156"/>
      <c r="I36" s="156"/>
      <c r="J36" s="156"/>
      <c r="K36" s="156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"/>
      <c r="Y36" s="2"/>
      <c r="Z36" s="2"/>
      <c r="AA36" s="2"/>
      <c r="AB36" s="2"/>
    </row>
    <row r="37" spans="1:28" ht="16.2" x14ac:dyDescent="0.45">
      <c r="A37" s="2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"/>
      <c r="Y37" s="2"/>
      <c r="Z37" s="2"/>
      <c r="AA37" s="2"/>
      <c r="AB37" s="2"/>
    </row>
    <row r="38" spans="1:28" ht="16.2" x14ac:dyDescent="0.45">
      <c r="A38" s="2"/>
      <c r="B38" s="68" t="s">
        <v>103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x14ac:dyDescent="0.3">
      <c r="A40" s="2"/>
      <c r="B40" s="1" t="s">
        <v>271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x14ac:dyDescent="0.3">
      <c r="A41" s="2"/>
      <c r="B41" s="164" t="s">
        <v>270</v>
      </c>
      <c r="C41" s="164"/>
      <c r="D41" s="164"/>
      <c r="E41" s="164"/>
      <c r="F41" s="164"/>
      <c r="G41" s="164"/>
      <c r="H41" s="209">
        <f>+H26/'P&amp;L'!H24</f>
        <v>0.18205529473135107</v>
      </c>
      <c r="I41" s="209">
        <f>+I26/'P&amp;L'!I24</f>
        <v>0.1592901878914405</v>
      </c>
      <c r="J41" s="209">
        <f>+J26/'P&amp;L'!J24</f>
        <v>0.16676696137882085</v>
      </c>
      <c r="K41" s="209">
        <f>+K26/'P&amp;L'!K24</f>
        <v>0.15144476172158192</v>
      </c>
      <c r="L41" s="209">
        <f ca="1">+L26/'P&amp;L'!L24</f>
        <v>0.13321407462045348</v>
      </c>
      <c r="M41" s="209">
        <f ca="1">+M26/'P&amp;L'!M24</f>
        <v>0.13358915259269455</v>
      </c>
      <c r="N41" s="209">
        <f ca="1">+N26/'P&amp;L'!N24</f>
        <v>0.13547338715715826</v>
      </c>
      <c r="O41" s="209">
        <f ca="1">+O26/'P&amp;L'!O24</f>
        <v>0.15113422120674788</v>
      </c>
      <c r="P41" s="209">
        <f ca="1">+P26/'P&amp;L'!P24</f>
        <v>0.15015026348425797</v>
      </c>
      <c r="Q41" s="209">
        <f ca="1">+Q26/'P&amp;L'!Q24</f>
        <v>0.1491931271717275</v>
      </c>
      <c r="R41" s="209">
        <f ca="1">+R26/'P&amp;L'!R24</f>
        <v>0.14826130716051802</v>
      </c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x14ac:dyDescent="0.3">
      <c r="A42" s="2"/>
      <c r="B42" s="164" t="s">
        <v>272</v>
      </c>
      <c r="C42" s="164"/>
      <c r="D42" s="164"/>
      <c r="E42" s="164"/>
      <c r="F42" s="164"/>
      <c r="G42" s="164"/>
      <c r="H42" s="164"/>
      <c r="I42" s="210">
        <f>+(I26-H26)/H26</f>
        <v>-1.2662907847305666E-2</v>
      </c>
      <c r="J42" s="210">
        <f t="shared" ref="J42:K42" si="34">+(J26-I26)/I26</f>
        <v>1.1795543905635648E-2</v>
      </c>
      <c r="K42" s="210">
        <f t="shared" si="34"/>
        <v>-5.292376017764619E-2</v>
      </c>
      <c r="L42" s="164"/>
      <c r="M42" s="164"/>
      <c r="N42" s="164"/>
      <c r="O42" s="164"/>
      <c r="P42" s="164"/>
      <c r="Q42" s="164"/>
      <c r="R42" s="164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x14ac:dyDescent="0.3">
      <c r="A43" s="2"/>
      <c r="B43" s="164" t="s">
        <v>269</v>
      </c>
      <c r="C43" s="164"/>
      <c r="D43" s="164"/>
      <c r="E43" s="164"/>
      <c r="F43" s="164"/>
      <c r="G43" s="164"/>
      <c r="H43" s="211">
        <f>+H34/('Balance Sheet '!G33+'Balance Sheet '!G38-SUM('Balance Sheet '!G36:G37)-'Balance Sheet '!G26)</f>
        <v>0.12631654883855142</v>
      </c>
      <c r="I43" s="211">
        <f>+I26/('Balance Sheet '!H33+'Balance Sheet '!H38-SUM('Balance Sheet '!H36:H37)-'Balance Sheet '!H26)</f>
        <v>0.19532978587232797</v>
      </c>
      <c r="J43" s="211">
        <f>+J26/('Balance Sheet '!I33+'Balance Sheet '!I38-SUM('Balance Sheet '!I36:I37)-'Balance Sheet '!I26)</f>
        <v>0.18264161146410707</v>
      </c>
      <c r="K43" s="211">
        <f>+K26/('Balance Sheet '!J33+'Balance Sheet '!J38-SUM('Balance Sheet '!J36:J37)-'Balance Sheet '!J26)</f>
        <v>0.17156936692311561</v>
      </c>
      <c r="L43" s="164"/>
      <c r="M43" s="164"/>
      <c r="N43" s="164"/>
      <c r="O43" s="164"/>
      <c r="P43" s="164"/>
      <c r="Q43" s="164"/>
      <c r="R43" s="164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x14ac:dyDescent="0.3">
      <c r="A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x14ac:dyDescent="0.3">
      <c r="A45" s="2"/>
      <c r="B45" s="2"/>
      <c r="C45" s="2"/>
      <c r="D45" s="2"/>
      <c r="E45" s="2"/>
      <c r="F45" s="2"/>
      <c r="G45" s="2"/>
      <c r="H45" s="2"/>
      <c r="I45" s="9"/>
      <c r="J45" s="9"/>
      <c r="K45" s="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x14ac:dyDescent="0.3">
      <c r="A49" s="2"/>
      <c r="B49" s="2"/>
      <c r="C49" s="2"/>
      <c r="D49" s="2"/>
      <c r="E49" s="2"/>
      <c r="F49" s="2"/>
      <c r="G49" s="2"/>
      <c r="H49" s="2"/>
      <c r="I49" s="2" t="s">
        <v>23</v>
      </c>
      <c r="J49" s="7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x14ac:dyDescent="0.3">
      <c r="A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x14ac:dyDescent="0.3">
      <c r="A68" s="2"/>
      <c r="S68" s="2"/>
      <c r="T68" s="2"/>
      <c r="U68" s="2"/>
    </row>
    <row r="69" spans="1:28" x14ac:dyDescent="0.3">
      <c r="A69" s="2"/>
      <c r="S69" s="2"/>
      <c r="T69" s="2"/>
      <c r="U69" s="2"/>
    </row>
    <row r="70" spans="1:28" x14ac:dyDescent="0.3">
      <c r="A70" s="2"/>
      <c r="S70" s="2"/>
      <c r="T70" s="2"/>
      <c r="U70" s="2"/>
    </row>
    <row r="71" spans="1:28" x14ac:dyDescent="0.3">
      <c r="A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x14ac:dyDescent="0.3">
      <c r="A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x14ac:dyDescent="0.3">
      <c r="A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x14ac:dyDescent="0.3">
      <c r="A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x14ac:dyDescent="0.3">
      <c r="A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x14ac:dyDescent="0.3">
      <c r="A76" s="2"/>
      <c r="S76" s="2"/>
      <c r="T76" s="2"/>
      <c r="U76" s="2"/>
      <c r="V76" s="2"/>
      <c r="W76" s="2"/>
    </row>
    <row r="77" spans="1:28" x14ac:dyDescent="0.3">
      <c r="A77" s="2"/>
      <c r="S77" s="2"/>
      <c r="T77" s="2"/>
      <c r="U77" s="2"/>
      <c r="V77" s="2"/>
      <c r="W77" s="2"/>
    </row>
    <row r="78" spans="1:28" x14ac:dyDescent="0.3">
      <c r="A78" s="2"/>
      <c r="S78" s="2"/>
      <c r="T78" s="2"/>
      <c r="U78" s="2"/>
      <c r="V78" s="2"/>
      <c r="W78" s="2"/>
    </row>
    <row r="79" spans="1:28" x14ac:dyDescent="0.3">
      <c r="V79" s="2"/>
      <c r="W79" s="2"/>
    </row>
    <row r="80" spans="1:28" x14ac:dyDescent="0.3">
      <c r="V80" s="2"/>
      <c r="W80" s="2"/>
    </row>
    <row r="81" spans="22:23" x14ac:dyDescent="0.3">
      <c r="V81" s="2"/>
      <c r="W81" s="2"/>
    </row>
    <row r="82" spans="22:23" x14ac:dyDescent="0.3">
      <c r="V82" s="2"/>
      <c r="W82" s="2"/>
    </row>
    <row r="83" spans="22:23" x14ac:dyDescent="0.3">
      <c r="V83" s="2"/>
      <c r="W83" s="2"/>
    </row>
    <row r="84" spans="22:23" x14ac:dyDescent="0.3">
      <c r="V84" s="2"/>
      <c r="W84" s="2"/>
    </row>
    <row r="85" spans="22:23" x14ac:dyDescent="0.3">
      <c r="V85" s="2"/>
      <c r="W85" s="2"/>
    </row>
    <row r="86" spans="22:23" x14ac:dyDescent="0.3">
      <c r="V86" s="2"/>
      <c r="W86" s="2"/>
    </row>
    <row r="87" spans="22:23" x14ac:dyDescent="0.3">
      <c r="V87" s="2"/>
      <c r="W87" s="2"/>
    </row>
    <row r="88" spans="22:23" x14ac:dyDescent="0.3">
      <c r="V88" s="2"/>
      <c r="W88" s="2"/>
    </row>
    <row r="89" spans="22:23" x14ac:dyDescent="0.3">
      <c r="V89" s="2"/>
      <c r="W89" s="2"/>
    </row>
    <row r="90" spans="22:23" x14ac:dyDescent="0.3">
      <c r="V90" s="2"/>
      <c r="W90" s="2"/>
    </row>
    <row r="91" spans="22:23" x14ac:dyDescent="0.3">
      <c r="V91" s="2"/>
      <c r="W91" s="2"/>
    </row>
    <row r="92" spans="22:23" x14ac:dyDescent="0.3">
      <c r="V92" s="2"/>
      <c r="W92" s="2"/>
    </row>
    <row r="93" spans="22:23" x14ac:dyDescent="0.3">
      <c r="V93" s="2"/>
      <c r="W93" s="2"/>
    </row>
    <row r="94" spans="22:23" ht="14.4" customHeight="1" x14ac:dyDescent="0.3">
      <c r="V94" s="2"/>
      <c r="W94" s="2"/>
    </row>
    <row r="95" spans="22:23" x14ac:dyDescent="0.3">
      <c r="V95" s="2"/>
      <c r="W95" s="2"/>
    </row>
    <row r="96" spans="22:23" x14ac:dyDescent="0.3">
      <c r="V96" s="2"/>
      <c r="W96" s="2"/>
    </row>
    <row r="97" spans="22:23" x14ac:dyDescent="0.3">
      <c r="V97" s="2"/>
      <c r="W97" s="2"/>
    </row>
    <row r="98" spans="22:23" x14ac:dyDescent="0.3">
      <c r="V98" s="2"/>
      <c r="W98" s="2"/>
    </row>
    <row r="99" spans="22:23" x14ac:dyDescent="0.3">
      <c r="V99" s="2"/>
      <c r="W99" s="2"/>
    </row>
    <row r="100" spans="22:23" x14ac:dyDescent="0.3">
      <c r="V100" s="2"/>
      <c r="W100" s="2"/>
    </row>
    <row r="101" spans="22:23" x14ac:dyDescent="0.3">
      <c r="V101" s="2"/>
      <c r="W101" s="2"/>
    </row>
    <row r="102" spans="22:23" x14ac:dyDescent="0.3">
      <c r="V102" s="2"/>
      <c r="W102" s="2"/>
    </row>
    <row r="103" spans="22:23" x14ac:dyDescent="0.3">
      <c r="V103" s="2"/>
      <c r="W103" s="2"/>
    </row>
    <row r="104" spans="22:23" x14ac:dyDescent="0.3">
      <c r="V104" s="2"/>
      <c r="W104" s="2"/>
    </row>
    <row r="105" spans="22:23" x14ac:dyDescent="0.3">
      <c r="V105" s="2"/>
      <c r="W105" s="2"/>
    </row>
    <row r="106" spans="22:23" x14ac:dyDescent="0.3">
      <c r="V106" s="2"/>
      <c r="W106" s="2"/>
    </row>
    <row r="107" spans="22:23" x14ac:dyDescent="0.3">
      <c r="V107" s="2"/>
      <c r="W107" s="2"/>
    </row>
    <row r="108" spans="22:23" x14ac:dyDescent="0.3">
      <c r="V108" s="2"/>
      <c r="W108" s="2"/>
    </row>
    <row r="109" spans="22:23" x14ac:dyDescent="0.3">
      <c r="V109" s="2"/>
      <c r="W109" s="2"/>
    </row>
    <row r="110" spans="22:23" x14ac:dyDescent="0.3">
      <c r="V110" s="2"/>
      <c r="W110" s="2"/>
    </row>
    <row r="111" spans="22:23" x14ac:dyDescent="0.3">
      <c r="V111" s="2"/>
      <c r="W111" s="2"/>
    </row>
    <row r="112" spans="22:23" x14ac:dyDescent="0.3">
      <c r="V112" s="2"/>
      <c r="W112" s="2"/>
    </row>
    <row r="113" spans="22:37" x14ac:dyDescent="0.3">
      <c r="V113" s="2"/>
      <c r="W113" s="2"/>
    </row>
    <row r="114" spans="22:37" x14ac:dyDescent="0.3">
      <c r="W114" s="2"/>
    </row>
    <row r="115" spans="22:37" x14ac:dyDescent="0.3">
      <c r="W115" s="2"/>
    </row>
    <row r="116" spans="22:37" x14ac:dyDescent="0.3">
      <c r="W116" s="2"/>
    </row>
    <row r="117" spans="22:37" x14ac:dyDescent="0.3">
      <c r="W117" s="2"/>
    </row>
    <row r="118" spans="22:37" x14ac:dyDescent="0.3">
      <c r="W118" s="2"/>
    </row>
    <row r="119" spans="22:37" x14ac:dyDescent="0.3">
      <c r="W119" s="2"/>
    </row>
    <row r="120" spans="22:37" x14ac:dyDescent="0.3">
      <c r="W120" s="2"/>
    </row>
    <row r="121" spans="22:37" x14ac:dyDescent="0.3"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22:37" x14ac:dyDescent="0.3">
      <c r="W122" s="2"/>
      <c r="X122" s="2"/>
      <c r="Y122" s="2"/>
      <c r="Z122" s="2"/>
      <c r="AA122" s="2"/>
      <c r="AB122" s="2"/>
    </row>
    <row r="123" spans="22:37" x14ac:dyDescent="0.3">
      <c r="W123" s="2"/>
      <c r="X123" s="2"/>
      <c r="Y123" s="2"/>
      <c r="Z123" s="2"/>
      <c r="AA123" s="2"/>
      <c r="AB123" s="2"/>
    </row>
    <row r="124" spans="22:37" x14ac:dyDescent="0.3">
      <c r="W124" s="2"/>
      <c r="X124" s="2"/>
      <c r="Y124" s="2"/>
      <c r="Z124" s="2"/>
      <c r="AA124" s="2"/>
      <c r="AB124" s="2"/>
    </row>
    <row r="125" spans="22:37" x14ac:dyDescent="0.3">
      <c r="W125" s="2"/>
      <c r="X125" s="2"/>
      <c r="Y125" s="2"/>
      <c r="Z125" s="2"/>
      <c r="AA125" s="2"/>
      <c r="AB125" s="2"/>
    </row>
    <row r="126" spans="22:37" x14ac:dyDescent="0.3">
      <c r="W126" s="2"/>
      <c r="X126" s="2"/>
      <c r="Y126" s="2"/>
      <c r="Z126" s="2"/>
      <c r="AA126" s="2"/>
      <c r="AB126" s="2"/>
    </row>
    <row r="127" spans="22:37" x14ac:dyDescent="0.3">
      <c r="W127" s="2"/>
      <c r="X127" s="2"/>
      <c r="Y127" s="2"/>
      <c r="Z127" s="2"/>
      <c r="AA127" s="2"/>
      <c r="AB127" s="2"/>
    </row>
    <row r="128" spans="22:37" x14ac:dyDescent="0.3">
      <c r="W128" s="2"/>
      <c r="X128" s="2"/>
      <c r="Y128" s="2"/>
      <c r="Z128" s="2"/>
      <c r="AA128" s="2"/>
      <c r="AB128" s="2"/>
    </row>
    <row r="129" spans="23:28" x14ac:dyDescent="0.3">
      <c r="W129" s="2"/>
      <c r="X129" s="2"/>
      <c r="Y129" s="2"/>
      <c r="Z129" s="2"/>
      <c r="AA129" s="2"/>
      <c r="AB129" s="2"/>
    </row>
    <row r="130" spans="23:28" x14ac:dyDescent="0.3">
      <c r="W130" s="2"/>
      <c r="X130" s="2"/>
      <c r="Y130" s="2"/>
      <c r="Z130" s="2"/>
      <c r="AA130" s="2"/>
      <c r="AB130" s="2"/>
    </row>
    <row r="131" spans="23:28" x14ac:dyDescent="0.3">
      <c r="W131" s="2"/>
      <c r="X131" s="2"/>
      <c r="Y131" s="2"/>
      <c r="Z131" s="2"/>
      <c r="AA131" s="2"/>
      <c r="AB131" s="2"/>
    </row>
    <row r="132" spans="23:28" x14ac:dyDescent="0.3">
      <c r="W132" s="2"/>
      <c r="X132" s="2"/>
      <c r="Y132" s="2"/>
      <c r="Z132" s="2"/>
      <c r="AA132" s="2"/>
      <c r="AB132" s="2"/>
    </row>
    <row r="133" spans="23:28" x14ac:dyDescent="0.3">
      <c r="W133" s="2"/>
      <c r="X133" s="2"/>
      <c r="Y133" s="2"/>
      <c r="Z133" s="2"/>
      <c r="AA133" s="2"/>
      <c r="AB133" s="2"/>
    </row>
    <row r="134" spans="23:28" x14ac:dyDescent="0.3">
      <c r="W134" s="2"/>
      <c r="X134" s="2"/>
      <c r="Y134" s="2"/>
      <c r="Z134" s="2"/>
      <c r="AA134" s="2"/>
      <c r="AB134" s="2"/>
    </row>
    <row r="135" spans="23:28" x14ac:dyDescent="0.3">
      <c r="W135" s="2"/>
      <c r="X135" s="2"/>
      <c r="Y135" s="2"/>
      <c r="Z135" s="2"/>
      <c r="AA135" s="2"/>
      <c r="AB135" s="2"/>
    </row>
    <row r="136" spans="23:28" x14ac:dyDescent="0.3">
      <c r="W136" s="2"/>
      <c r="X136" s="2"/>
      <c r="Y136" s="2"/>
      <c r="Z136" s="2"/>
      <c r="AA136" s="2"/>
      <c r="AB136" s="2"/>
    </row>
    <row r="137" spans="23:28" x14ac:dyDescent="0.3">
      <c r="W137" s="2"/>
      <c r="X137" s="2"/>
      <c r="Y137" s="2"/>
      <c r="Z137" s="2"/>
      <c r="AA137" s="2"/>
      <c r="AB137" s="2"/>
    </row>
    <row r="138" spans="23:28" x14ac:dyDescent="0.3">
      <c r="W138" s="2"/>
      <c r="X138" s="2"/>
      <c r="Y138" s="2"/>
      <c r="Z138" s="2"/>
      <c r="AA138" s="2"/>
      <c r="AB138" s="2"/>
    </row>
    <row r="139" spans="23:28" x14ac:dyDescent="0.3">
      <c r="W139" s="2"/>
      <c r="X139" s="2"/>
      <c r="Y139" s="2"/>
      <c r="Z139" s="2"/>
      <c r="AA139" s="2"/>
      <c r="AB139" s="2"/>
    </row>
    <row r="140" spans="23:28" x14ac:dyDescent="0.3">
      <c r="W140" s="2"/>
      <c r="X140" s="2"/>
      <c r="Y140" s="2"/>
      <c r="Z140" s="2"/>
      <c r="AA140" s="2"/>
      <c r="AB140" s="2"/>
    </row>
    <row r="141" spans="23:28" x14ac:dyDescent="0.3">
      <c r="W141" s="2"/>
      <c r="X141" s="2"/>
      <c r="Y141" s="2"/>
      <c r="Z141" s="2"/>
      <c r="AA141" s="2"/>
      <c r="AB141" s="2"/>
    </row>
    <row r="142" spans="23:28" x14ac:dyDescent="0.3">
      <c r="W142" s="2"/>
      <c r="X142" s="2"/>
      <c r="Y142" s="2"/>
      <c r="Z142" s="2"/>
      <c r="AA142" s="2"/>
      <c r="AB142" s="2"/>
    </row>
    <row r="143" spans="23:28" x14ac:dyDescent="0.3">
      <c r="W143" s="2"/>
      <c r="X143" s="2"/>
      <c r="Y143" s="2"/>
      <c r="Z143" s="2"/>
      <c r="AA143" s="2"/>
      <c r="AB143" s="2"/>
    </row>
    <row r="144" spans="23:28" x14ac:dyDescent="0.3">
      <c r="W144" s="2"/>
      <c r="X144" s="2"/>
      <c r="Y144" s="2"/>
      <c r="Z144" s="2"/>
      <c r="AA144" s="2"/>
      <c r="AB144" s="2"/>
    </row>
    <row r="145" spans="23:28" x14ac:dyDescent="0.3">
      <c r="W145" s="2"/>
      <c r="X145" s="2"/>
      <c r="Y145" s="2"/>
      <c r="Z145" s="2"/>
      <c r="AA145" s="2"/>
      <c r="AB145" s="2"/>
    </row>
    <row r="146" spans="23:28" x14ac:dyDescent="0.3">
      <c r="W146" s="2"/>
      <c r="X146" s="2"/>
      <c r="Y146" s="2"/>
      <c r="Z146" s="2"/>
      <c r="AA146" s="2"/>
      <c r="AB146" s="2"/>
    </row>
    <row r="147" spans="23:28" x14ac:dyDescent="0.3">
      <c r="W147" s="2"/>
      <c r="X147" s="2"/>
      <c r="Y147" s="2"/>
      <c r="Z147" s="2"/>
      <c r="AA147" s="2"/>
      <c r="AB147" s="2"/>
    </row>
    <row r="148" spans="23:28" x14ac:dyDescent="0.3">
      <c r="W148" s="2"/>
      <c r="X148" s="2"/>
      <c r="Y148" s="2"/>
      <c r="Z148" s="2"/>
      <c r="AA148" s="2"/>
      <c r="AB148" s="2"/>
    </row>
    <row r="149" spans="23:28" x14ac:dyDescent="0.3">
      <c r="W149" s="2"/>
      <c r="X149" s="2"/>
      <c r="Y149" s="2"/>
      <c r="Z149" s="2"/>
      <c r="AA149" s="2"/>
      <c r="AB149" s="2"/>
    </row>
    <row r="150" spans="23:28" x14ac:dyDescent="0.3">
      <c r="W150" s="2"/>
      <c r="X150" s="2"/>
      <c r="Y150" s="2"/>
      <c r="Z150" s="2"/>
      <c r="AA150" s="2"/>
      <c r="AB150" s="2"/>
    </row>
    <row r="151" spans="23:28" x14ac:dyDescent="0.3">
      <c r="W151" s="2"/>
      <c r="X151" s="2"/>
      <c r="Y151" s="2"/>
      <c r="Z151" s="2"/>
      <c r="AA151" s="2"/>
      <c r="AB151" s="2"/>
    </row>
    <row r="152" spans="23:28" x14ac:dyDescent="0.3">
      <c r="W152" s="2"/>
      <c r="X152" s="2"/>
      <c r="Y152" s="2"/>
      <c r="Z152" s="2"/>
      <c r="AA152" s="2"/>
      <c r="AB152" s="2"/>
    </row>
    <row r="153" spans="23:28" x14ac:dyDescent="0.3">
      <c r="W153" s="2"/>
      <c r="X153" s="2"/>
      <c r="Y153" s="2"/>
      <c r="Z153" s="2"/>
      <c r="AA153" s="2"/>
      <c r="AB153" s="2"/>
    </row>
    <row r="154" spans="23:28" x14ac:dyDescent="0.3">
      <c r="W154" s="2"/>
      <c r="X154" s="2"/>
      <c r="Y154" s="2"/>
      <c r="Z154" s="2"/>
      <c r="AA154" s="2"/>
      <c r="AB154" s="2"/>
    </row>
    <row r="155" spans="23:28" x14ac:dyDescent="0.3">
      <c r="W155" s="2"/>
      <c r="X155" s="2"/>
      <c r="Y155" s="2"/>
      <c r="Z155" s="2"/>
      <c r="AA155" s="2"/>
      <c r="AB155" s="2"/>
    </row>
    <row r="156" spans="23:28" x14ac:dyDescent="0.3">
      <c r="W156" s="2"/>
      <c r="X156" s="2"/>
      <c r="Y156" s="2"/>
      <c r="Z156" s="2"/>
      <c r="AA156" s="2"/>
      <c r="AB156" s="2"/>
    </row>
    <row r="157" spans="23:28" x14ac:dyDescent="0.3">
      <c r="W157" s="2"/>
      <c r="X157" s="2"/>
      <c r="Y157" s="2"/>
      <c r="Z157" s="2"/>
      <c r="AA157" s="2"/>
      <c r="AB157" s="2"/>
    </row>
    <row r="158" spans="23:28" x14ac:dyDescent="0.3">
      <c r="W158" s="2"/>
      <c r="X158" s="2"/>
      <c r="Y158" s="2"/>
      <c r="Z158" s="2"/>
      <c r="AA158" s="2"/>
      <c r="AB158" s="2"/>
    </row>
    <row r="159" spans="23:28" x14ac:dyDescent="0.3">
      <c r="W159" s="2"/>
      <c r="X159" s="2"/>
      <c r="Y159" s="2"/>
      <c r="Z159" s="2"/>
      <c r="AA159" s="2"/>
      <c r="AB159" s="2"/>
    </row>
    <row r="160" spans="23:28" x14ac:dyDescent="0.3">
      <c r="W160" s="2"/>
      <c r="X160" s="2"/>
      <c r="Y160" s="2"/>
      <c r="Z160" s="2"/>
      <c r="AA160" s="2"/>
      <c r="AB160" s="2"/>
    </row>
    <row r="161" spans="23:28" x14ac:dyDescent="0.3">
      <c r="W161" s="2"/>
      <c r="X161" s="2"/>
      <c r="Y161" s="2"/>
      <c r="Z161" s="2"/>
      <c r="AA161" s="2"/>
      <c r="AB161" s="2"/>
    </row>
    <row r="162" spans="23:28" x14ac:dyDescent="0.3">
      <c r="W162" s="2"/>
      <c r="X162" s="2"/>
      <c r="Y162" s="2"/>
      <c r="Z162" s="2"/>
      <c r="AA162" s="2"/>
      <c r="AB162" s="2"/>
    </row>
    <row r="163" spans="23:28" x14ac:dyDescent="0.3">
      <c r="W163" s="2"/>
      <c r="X163" s="2"/>
      <c r="Y163" s="2"/>
      <c r="Z163" s="2"/>
      <c r="AA163" s="2"/>
      <c r="AB163" s="2"/>
    </row>
    <row r="164" spans="23:28" x14ac:dyDescent="0.3">
      <c r="W164" s="2"/>
      <c r="X164" s="2"/>
      <c r="Y164" s="2"/>
      <c r="Z164" s="2"/>
      <c r="AA164" s="2"/>
      <c r="AB164" s="2"/>
    </row>
    <row r="165" spans="23:28" x14ac:dyDescent="0.3">
      <c r="W165" s="2"/>
      <c r="X165" s="2"/>
      <c r="Y165" s="2"/>
      <c r="Z165" s="2"/>
      <c r="AA165" s="2"/>
      <c r="AB165" s="2"/>
    </row>
    <row r="166" spans="23:28" x14ac:dyDescent="0.3">
      <c r="W166" s="2"/>
      <c r="X166" s="2"/>
      <c r="Y166" s="2"/>
      <c r="Z166" s="2"/>
      <c r="AA166" s="2"/>
      <c r="AB166" s="2"/>
    </row>
    <row r="167" spans="23:28" x14ac:dyDescent="0.3">
      <c r="W167" s="2"/>
      <c r="X167" s="2"/>
      <c r="Y167" s="2"/>
      <c r="Z167" s="2"/>
      <c r="AA167" s="2"/>
      <c r="AB167" s="2"/>
    </row>
    <row r="168" spans="23:28" x14ac:dyDescent="0.3">
      <c r="W168" s="2"/>
      <c r="X168" s="2"/>
      <c r="Y168" s="2"/>
      <c r="Z168" s="2"/>
      <c r="AA168" s="2"/>
      <c r="AB168" s="2"/>
    </row>
    <row r="169" spans="23:28" x14ac:dyDescent="0.3">
      <c r="W169" s="2"/>
      <c r="X169" s="2"/>
      <c r="Y169" s="2"/>
      <c r="Z169" s="2"/>
      <c r="AA169" s="2"/>
      <c r="AB169" s="2"/>
    </row>
    <row r="170" spans="23:28" x14ac:dyDescent="0.3">
      <c r="W170" s="2"/>
      <c r="X170" s="2"/>
      <c r="Y170" s="2"/>
      <c r="Z170" s="2"/>
      <c r="AA170" s="2"/>
      <c r="AB170" s="2"/>
    </row>
    <row r="171" spans="23:28" x14ac:dyDescent="0.3">
      <c r="W171" s="2"/>
      <c r="X171" s="2"/>
      <c r="Y171" s="2"/>
      <c r="Z171" s="2"/>
      <c r="AA171" s="2"/>
      <c r="AB171" s="2"/>
    </row>
    <row r="172" spans="23:28" x14ac:dyDescent="0.3">
      <c r="W172" s="2"/>
      <c r="X172" s="2"/>
      <c r="Y172" s="2"/>
      <c r="Z172" s="2"/>
      <c r="AA172" s="2"/>
      <c r="AB172" s="2"/>
    </row>
    <row r="173" spans="23:28" x14ac:dyDescent="0.3">
      <c r="W173" s="2"/>
      <c r="X173" s="2"/>
      <c r="Y173" s="2"/>
      <c r="Z173" s="2"/>
      <c r="AA173" s="2"/>
      <c r="AB173" s="2"/>
    </row>
    <row r="174" spans="23:28" x14ac:dyDescent="0.3">
      <c r="W174" s="2"/>
      <c r="X174" s="2"/>
      <c r="Y174" s="2"/>
      <c r="Z174" s="2"/>
      <c r="AA174" s="2"/>
      <c r="AB174" s="2"/>
    </row>
    <row r="175" spans="23:28" x14ac:dyDescent="0.3">
      <c r="W175" s="2"/>
      <c r="X175" s="2"/>
      <c r="Y175" s="2"/>
      <c r="Z175" s="2"/>
      <c r="AA175" s="2"/>
      <c r="AB175" s="2"/>
    </row>
    <row r="176" spans="23:28" x14ac:dyDescent="0.3">
      <c r="W176" s="2"/>
      <c r="X176" s="2"/>
      <c r="Y176" s="2"/>
      <c r="Z176" s="2"/>
      <c r="AA176" s="2"/>
      <c r="AB176" s="2"/>
    </row>
    <row r="177" spans="23:28" x14ac:dyDescent="0.3">
      <c r="W177" s="2"/>
      <c r="X177" s="2"/>
      <c r="Y177" s="2"/>
      <c r="Z177" s="2"/>
      <c r="AA177" s="2"/>
      <c r="AB177" s="2"/>
    </row>
    <row r="178" spans="23:28" x14ac:dyDescent="0.3">
      <c r="W178" s="2"/>
      <c r="X178" s="2"/>
      <c r="Y178" s="2"/>
      <c r="Z178" s="2"/>
      <c r="AA178" s="2"/>
      <c r="AB178" s="2"/>
    </row>
    <row r="179" spans="23:28" x14ac:dyDescent="0.3">
      <c r="W179" s="2"/>
      <c r="X179" s="2"/>
      <c r="Y179" s="2"/>
      <c r="Z179" s="2"/>
      <c r="AA179" s="2"/>
      <c r="AB179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9CC9-C5BF-4D99-8EA3-1B5998E650EC}">
  <sheetPr>
    <tabColor rgb="FFC9F223"/>
  </sheetPr>
  <dimension ref="A1:Z118"/>
  <sheetViews>
    <sheetView showGridLines="0" zoomScale="80" zoomScaleNormal="80" zoomScaleSheetLayoutView="100" workbookViewId="0">
      <pane ySplit="5" topLeftCell="A26" activePane="bottomLeft" state="frozen"/>
      <selection activeCell="P2" sqref="P2:P4"/>
      <selection pane="bottomLeft" activeCell="O67" sqref="O67"/>
    </sheetView>
  </sheetViews>
  <sheetFormatPr defaultRowHeight="14.4" outlineLevelRow="1" x14ac:dyDescent="0.3"/>
  <cols>
    <col min="1" max="1" width="2.5546875" customWidth="1"/>
    <col min="2" max="20" width="12.77734375" customWidth="1"/>
  </cols>
  <sheetData>
    <row r="1" spans="1:26" ht="16.2" x14ac:dyDescent="0.45">
      <c r="A1" s="3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9"/>
      <c r="Q1" s="39"/>
      <c r="R1" s="39"/>
      <c r="S1" s="27"/>
      <c r="T1" s="27"/>
      <c r="U1" s="3"/>
      <c r="V1" s="3"/>
      <c r="W1" s="3"/>
      <c r="X1" s="3"/>
      <c r="Y1" s="3"/>
      <c r="Z1" s="3"/>
    </row>
    <row r="2" spans="1:26" ht="16.2" x14ac:dyDescent="0.45">
      <c r="A2" s="3"/>
      <c r="B2" s="62" t="s">
        <v>36</v>
      </c>
      <c r="C2" s="62"/>
      <c r="D2" s="62"/>
      <c r="E2" s="32"/>
      <c r="F2" s="32"/>
      <c r="G2" s="32"/>
      <c r="H2" s="32"/>
      <c r="I2" s="32"/>
      <c r="J2" s="32"/>
      <c r="K2" s="36"/>
      <c r="L2" s="36"/>
      <c r="M2" s="36"/>
      <c r="N2" s="36"/>
      <c r="O2" s="36"/>
      <c r="P2" s="39"/>
      <c r="Q2" s="39"/>
      <c r="R2" s="39"/>
      <c r="S2" s="27"/>
      <c r="T2" s="27"/>
      <c r="U2" s="3"/>
      <c r="V2" s="3"/>
      <c r="W2" s="3"/>
      <c r="X2" s="3"/>
      <c r="Y2" s="3"/>
      <c r="Z2" s="3"/>
    </row>
    <row r="3" spans="1:26" ht="16.2" x14ac:dyDescent="0.45">
      <c r="A3" s="3"/>
      <c r="B3" s="38" t="str">
        <f ca="1">'Cover Page'!E5&amp;" | "&amp;TEXT(TODAY(),"mmmm d, yyyy")</f>
        <v>Caterpillar Inc. (CAT) | February 11, 2026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27"/>
      <c r="T3" s="27"/>
      <c r="U3" s="3"/>
      <c r="V3" s="3"/>
      <c r="W3" s="3"/>
      <c r="X3" s="3"/>
      <c r="Y3" s="3"/>
      <c r="Z3" s="3"/>
    </row>
    <row r="4" spans="1:26" ht="18" customHeight="1" x14ac:dyDescent="0.45">
      <c r="A4" s="3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3"/>
      <c r="V4" s="3"/>
      <c r="W4" s="3"/>
      <c r="X4" s="3"/>
      <c r="Y4" s="3"/>
      <c r="Z4" s="3"/>
    </row>
    <row r="5" spans="1:26" ht="18" customHeight="1" thickBot="1" x14ac:dyDescent="0.5">
      <c r="A5" s="3"/>
      <c r="B5" s="145" t="str">
        <f>+Assumptions!D11</f>
        <v>USD' millions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185"/>
      <c r="Q5" s="185"/>
      <c r="R5" s="186"/>
      <c r="S5" s="29" t="s">
        <v>91</v>
      </c>
      <c r="T5" s="43" t="str">
        <f>+'P&amp;L'!$T$5</f>
        <v>BASE</v>
      </c>
      <c r="U5" s="3"/>
    </row>
    <row r="6" spans="1:26" ht="16.2" x14ac:dyDescent="0.45">
      <c r="A6" s="3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3"/>
      <c r="W6" s="3"/>
      <c r="X6" s="3"/>
      <c r="Y6" s="3"/>
      <c r="Z6" s="3"/>
    </row>
    <row r="7" spans="1:26" ht="16.2" x14ac:dyDescent="0.45">
      <c r="A7" s="2"/>
      <c r="B7" s="66" t="s">
        <v>75</v>
      </c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27"/>
      <c r="T7" s="27"/>
      <c r="U7" s="2"/>
      <c r="V7" s="2"/>
      <c r="W7" s="2"/>
      <c r="X7" s="2"/>
      <c r="Y7" s="2"/>
      <c r="Z7" s="2"/>
    </row>
    <row r="8" spans="1:26" ht="16.2" outlineLevel="1" x14ac:dyDescent="0.45">
      <c r="A8" s="2"/>
      <c r="B8" s="29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"/>
      <c r="V8" s="2"/>
      <c r="W8" s="2"/>
      <c r="X8" s="2"/>
      <c r="Y8" s="2"/>
      <c r="Z8" s="2"/>
    </row>
    <row r="9" spans="1:26" ht="16.2" outlineLevel="1" x14ac:dyDescent="0.45">
      <c r="A9" s="2"/>
      <c r="B9" s="62" t="s">
        <v>22</v>
      </c>
      <c r="C9" s="39"/>
      <c r="D9" s="39"/>
      <c r="E9" s="27"/>
      <c r="F9" s="27"/>
      <c r="G9" s="27"/>
      <c r="H9" s="27"/>
      <c r="K9" s="62" t="s">
        <v>66</v>
      </c>
      <c r="L9" s="62"/>
      <c r="M9" s="62"/>
      <c r="O9" s="78"/>
      <c r="P9" s="27"/>
      <c r="Q9" s="27"/>
      <c r="R9" s="27"/>
      <c r="S9" s="27"/>
      <c r="T9" s="27"/>
      <c r="U9" s="2"/>
      <c r="V9" s="2"/>
      <c r="W9" s="2"/>
      <c r="X9" s="2"/>
      <c r="Y9" s="2"/>
      <c r="Z9" s="2"/>
    </row>
    <row r="10" spans="1:26" ht="16.2" outlineLevel="1" x14ac:dyDescent="0.45">
      <c r="A10" s="2"/>
      <c r="B10" s="27"/>
      <c r="C10" s="27"/>
      <c r="D10" s="27"/>
      <c r="E10" s="27"/>
      <c r="F10" s="27"/>
      <c r="G10" s="27"/>
      <c r="H10" s="27"/>
      <c r="K10" s="27" t="s">
        <v>163</v>
      </c>
      <c r="L10" s="27"/>
      <c r="M10" s="125">
        <f>+D14</f>
        <v>6.7500000000000004E-2</v>
      </c>
      <c r="O10" s="27"/>
      <c r="P10" s="27"/>
      <c r="Q10" s="27"/>
      <c r="R10" s="27"/>
      <c r="S10" s="27"/>
      <c r="T10" s="27"/>
      <c r="U10" s="2"/>
      <c r="V10" s="2"/>
      <c r="W10" s="2"/>
      <c r="X10" s="2"/>
      <c r="Y10" s="2"/>
      <c r="Z10" s="2"/>
    </row>
    <row r="11" spans="1:26" ht="16.2" outlineLevel="1" x14ac:dyDescent="0.45">
      <c r="A11" s="2"/>
      <c r="B11" s="27" t="s">
        <v>151</v>
      </c>
      <c r="C11" s="27"/>
      <c r="D11" s="120">
        <f ca="1">TODAY()</f>
        <v>46064</v>
      </c>
      <c r="E11" s="27"/>
      <c r="F11" s="68" t="s">
        <v>111</v>
      </c>
      <c r="G11" s="27"/>
      <c r="H11" s="27"/>
      <c r="K11" s="27" t="s">
        <v>162</v>
      </c>
      <c r="L11" s="27"/>
      <c r="M11" s="127">
        <f>+D13</f>
        <v>0.21</v>
      </c>
      <c r="O11" s="27"/>
      <c r="P11" s="27"/>
      <c r="Q11" s="27"/>
      <c r="R11" s="27"/>
      <c r="S11" s="27"/>
      <c r="T11" s="27"/>
      <c r="U11" s="2"/>
      <c r="V11" s="2"/>
      <c r="W11" s="2"/>
      <c r="X11" s="2"/>
      <c r="Y11" s="2"/>
      <c r="Z11" s="2"/>
    </row>
    <row r="12" spans="1:26" ht="16.2" outlineLevel="1" x14ac:dyDescent="0.45">
      <c r="A12" s="2"/>
      <c r="B12" s="27" t="s">
        <v>140</v>
      </c>
      <c r="C12" s="27"/>
      <c r="D12" s="121">
        <f>+Assumptions!$D$10</f>
        <v>46387</v>
      </c>
      <c r="E12" s="27"/>
      <c r="F12" s="27"/>
      <c r="G12" s="27"/>
      <c r="H12" s="27"/>
      <c r="K12" s="104" t="s">
        <v>164</v>
      </c>
      <c r="L12" s="104"/>
      <c r="M12" s="129">
        <f>M10*(1-M11)</f>
        <v>5.3325000000000004E-2</v>
      </c>
      <c r="O12" s="27"/>
      <c r="P12" s="27"/>
      <c r="Q12" s="27"/>
      <c r="R12" s="27"/>
      <c r="S12" s="27"/>
      <c r="T12" s="27"/>
      <c r="U12" s="2"/>
      <c r="V12" s="2"/>
      <c r="W12" s="2"/>
      <c r="X12" s="2"/>
      <c r="Y12" s="2"/>
      <c r="Z12" s="2"/>
    </row>
    <row r="13" spans="1:26" ht="16.2" outlineLevel="1" x14ac:dyDescent="0.45">
      <c r="A13" s="2"/>
      <c r="B13" s="27" t="s">
        <v>152</v>
      </c>
      <c r="C13" s="27"/>
      <c r="D13" s="73">
        <v>0.21</v>
      </c>
      <c r="E13" s="27"/>
      <c r="F13" s="27"/>
      <c r="G13" s="27"/>
      <c r="H13" s="27"/>
      <c r="K13" s="27"/>
      <c r="L13" s="27"/>
      <c r="M13" s="27"/>
      <c r="O13" s="27"/>
      <c r="P13" s="27"/>
      <c r="Q13" s="27"/>
      <c r="R13" s="27"/>
      <c r="S13" s="27"/>
      <c r="T13" s="27"/>
      <c r="U13" s="2"/>
      <c r="V13" s="2"/>
      <c r="W13" s="2"/>
      <c r="X13" s="2"/>
      <c r="Y13" s="2"/>
      <c r="Z13" s="2"/>
    </row>
    <row r="14" spans="1:26" ht="16.2" outlineLevel="1" x14ac:dyDescent="0.45">
      <c r="A14" s="2"/>
      <c r="B14" s="27" t="s">
        <v>153</v>
      </c>
      <c r="C14" s="27"/>
      <c r="D14" s="122">
        <v>6.7500000000000004E-2</v>
      </c>
      <c r="E14" s="27"/>
      <c r="F14" s="27"/>
      <c r="G14" s="27"/>
      <c r="H14" s="27"/>
      <c r="K14" s="27" t="s">
        <v>161</v>
      </c>
      <c r="L14" s="27"/>
      <c r="M14" s="125">
        <f>+D15</f>
        <v>0.14499999999999999</v>
      </c>
      <c r="O14" s="27"/>
      <c r="P14" s="27"/>
      <c r="Q14" s="27"/>
      <c r="R14" s="27"/>
      <c r="S14" s="27"/>
      <c r="T14" s="27"/>
      <c r="U14" s="2"/>
      <c r="V14" s="2"/>
      <c r="W14" s="2"/>
      <c r="X14" s="2"/>
      <c r="Y14" s="2"/>
      <c r="Z14" s="2"/>
    </row>
    <row r="15" spans="1:26" ht="16.2" outlineLevel="1" x14ac:dyDescent="0.45">
      <c r="A15" s="2"/>
      <c r="B15" s="27" t="s">
        <v>154</v>
      </c>
      <c r="C15" s="27"/>
      <c r="D15" s="74">
        <v>0.14499999999999999</v>
      </c>
      <c r="E15" s="27"/>
      <c r="F15" s="68" t="s">
        <v>237</v>
      </c>
      <c r="G15" s="27"/>
      <c r="H15" s="27"/>
      <c r="K15" s="27" t="s">
        <v>61</v>
      </c>
      <c r="L15" s="27"/>
      <c r="M15" s="125">
        <f>+D16</f>
        <v>4.1000000000000002E-2</v>
      </c>
      <c r="O15" s="27"/>
      <c r="P15" s="27"/>
      <c r="Q15" s="27"/>
      <c r="R15" s="27"/>
      <c r="S15" s="27"/>
      <c r="T15" s="27"/>
      <c r="U15" s="2"/>
      <c r="V15" s="2"/>
      <c r="W15" s="2"/>
      <c r="X15" s="2"/>
      <c r="Y15" s="2"/>
      <c r="Z15" s="2"/>
    </row>
    <row r="16" spans="1:26" ht="16.2" outlineLevel="1" x14ac:dyDescent="0.45">
      <c r="A16" s="2"/>
      <c r="B16" s="27" t="s">
        <v>155</v>
      </c>
      <c r="C16" s="27"/>
      <c r="D16" s="122">
        <v>4.1000000000000002E-2</v>
      </c>
      <c r="E16" s="27"/>
      <c r="F16" s="68" t="s">
        <v>235</v>
      </c>
      <c r="G16" s="27"/>
      <c r="H16" s="27"/>
      <c r="K16" s="104" t="s">
        <v>62</v>
      </c>
      <c r="L16" s="104"/>
      <c r="M16" s="129">
        <f>+M14-M15</f>
        <v>0.10399999999999998</v>
      </c>
      <c r="O16" s="27"/>
      <c r="P16" s="27"/>
      <c r="Q16" s="27"/>
      <c r="R16" s="27"/>
      <c r="S16" s="27"/>
      <c r="T16" s="27"/>
      <c r="U16" s="2"/>
      <c r="V16" s="2"/>
      <c r="W16" s="2"/>
      <c r="X16" s="2"/>
      <c r="Y16" s="2"/>
      <c r="Z16" s="2"/>
    </row>
    <row r="17" spans="1:26" ht="16.2" outlineLevel="1" x14ac:dyDescent="0.45">
      <c r="A17" s="2"/>
      <c r="B17" s="27" t="s">
        <v>106</v>
      </c>
      <c r="C17" s="27"/>
      <c r="D17" s="182">
        <v>1.55</v>
      </c>
      <c r="E17" s="27"/>
      <c r="F17" s="27"/>
      <c r="G17" s="27"/>
      <c r="H17" s="27"/>
      <c r="K17" s="27"/>
      <c r="L17" s="27"/>
      <c r="M17" s="27"/>
      <c r="O17" s="27"/>
      <c r="P17" s="27"/>
      <c r="Q17" s="27"/>
      <c r="R17" s="27"/>
      <c r="S17" s="27"/>
      <c r="T17" s="27"/>
      <c r="U17" s="2"/>
      <c r="V17" s="2"/>
      <c r="W17" s="2"/>
      <c r="X17" s="2"/>
      <c r="Y17" s="2"/>
      <c r="Z17" s="2"/>
    </row>
    <row r="18" spans="1:26" ht="16.2" outlineLevel="1" x14ac:dyDescent="0.45">
      <c r="A18" s="2"/>
      <c r="B18" s="27" t="s">
        <v>68</v>
      </c>
      <c r="C18" s="27"/>
      <c r="D18" s="122"/>
      <c r="E18" s="27"/>
      <c r="F18" s="27"/>
      <c r="G18" s="27"/>
      <c r="H18" s="27"/>
      <c r="K18" s="27" t="s">
        <v>157</v>
      </c>
      <c r="L18" s="27"/>
      <c r="M18" s="148">
        <f>+D17</f>
        <v>1.55</v>
      </c>
      <c r="O18" s="27"/>
      <c r="P18" s="27"/>
      <c r="Q18" s="27"/>
      <c r="R18" s="27"/>
      <c r="S18" s="27"/>
      <c r="T18" s="27"/>
      <c r="U18" s="2"/>
      <c r="V18" s="2"/>
      <c r="W18" s="2"/>
      <c r="X18" s="2"/>
      <c r="Y18" s="2"/>
      <c r="Z18" s="2"/>
    </row>
    <row r="19" spans="1:26" ht="16.2" outlineLevel="1" x14ac:dyDescent="0.45">
      <c r="A19" s="2"/>
      <c r="B19" s="27" t="s">
        <v>156</v>
      </c>
      <c r="C19" s="27"/>
      <c r="D19" s="73">
        <v>0.03</v>
      </c>
      <c r="E19" s="27"/>
      <c r="F19" s="27"/>
      <c r="G19" s="27"/>
      <c r="H19" s="27"/>
      <c r="K19" s="104" t="s">
        <v>158</v>
      </c>
      <c r="L19" s="104"/>
      <c r="M19" s="129">
        <f>M15+(M16*M18)</f>
        <v>0.20219999999999999</v>
      </c>
      <c r="O19" s="27"/>
      <c r="P19" s="27"/>
      <c r="Q19" s="27"/>
      <c r="R19" s="27"/>
      <c r="S19" s="27"/>
      <c r="T19" s="27"/>
      <c r="U19" s="2"/>
      <c r="V19" s="2"/>
      <c r="W19" s="2"/>
      <c r="X19" s="2"/>
      <c r="Y19" s="2"/>
      <c r="Z19" s="2"/>
    </row>
    <row r="20" spans="1:26" ht="16.2" outlineLevel="1" x14ac:dyDescent="0.45">
      <c r="A20" s="2"/>
      <c r="B20" s="27" t="s">
        <v>165</v>
      </c>
      <c r="C20" s="27"/>
      <c r="D20" s="123">
        <v>726.5</v>
      </c>
      <c r="E20" s="27"/>
      <c r="F20" s="68" t="s">
        <v>110</v>
      </c>
      <c r="G20" s="27"/>
      <c r="H20" s="27"/>
      <c r="K20" s="27"/>
      <c r="L20" s="27"/>
      <c r="M20" s="27"/>
      <c r="O20" s="27"/>
      <c r="P20" s="27"/>
      <c r="Q20" s="27"/>
      <c r="R20" s="27"/>
      <c r="S20" s="27"/>
      <c r="T20" s="27"/>
      <c r="U20" s="2"/>
      <c r="V20" s="2"/>
      <c r="W20" s="2"/>
      <c r="X20" s="2"/>
      <c r="Y20" s="2"/>
      <c r="Z20" s="2"/>
    </row>
    <row r="21" spans="1:26" ht="16.2" outlineLevel="1" x14ac:dyDescent="0.45">
      <c r="A21" s="2"/>
      <c r="B21" s="27" t="s">
        <v>166</v>
      </c>
      <c r="C21" s="27"/>
      <c r="D21" s="123">
        <v>478</v>
      </c>
      <c r="E21" s="27"/>
      <c r="F21" s="27"/>
      <c r="G21" s="27"/>
      <c r="H21" s="27"/>
      <c r="K21" s="27" t="s">
        <v>159</v>
      </c>
      <c r="L21" s="27"/>
      <c r="M21" s="73">
        <v>0.7</v>
      </c>
      <c r="O21" s="27"/>
      <c r="P21" s="27"/>
      <c r="Q21" s="27"/>
      <c r="R21" s="27"/>
      <c r="S21" s="27"/>
      <c r="T21" s="27"/>
      <c r="U21" s="2"/>
      <c r="V21" s="2"/>
      <c r="W21" s="2"/>
      <c r="X21" s="2"/>
      <c r="Y21" s="2"/>
      <c r="Z21" s="2"/>
    </row>
    <row r="22" spans="1:26" ht="16.2" outlineLevel="1" x14ac:dyDescent="0.45">
      <c r="A22" s="2"/>
      <c r="B22" s="27" t="s">
        <v>113</v>
      </c>
      <c r="C22" s="27"/>
      <c r="D22" s="27"/>
      <c r="E22" s="27"/>
      <c r="F22" s="27"/>
      <c r="G22" s="27"/>
      <c r="H22" s="27"/>
      <c r="K22" s="27" t="s">
        <v>160</v>
      </c>
      <c r="L22" s="27"/>
      <c r="M22" s="73">
        <v>0.3</v>
      </c>
      <c r="O22" s="27"/>
      <c r="P22" s="27"/>
      <c r="Q22" s="27"/>
      <c r="R22" s="27"/>
      <c r="S22" s="27"/>
      <c r="T22" s="27"/>
      <c r="U22" s="2"/>
      <c r="V22" s="2"/>
      <c r="W22" s="2"/>
      <c r="X22" s="2"/>
      <c r="Y22" s="2"/>
      <c r="Z22" s="2"/>
    </row>
    <row r="23" spans="1:26" ht="16.8" outlineLevel="1" thickBot="1" x14ac:dyDescent="0.5">
      <c r="A23" s="2"/>
      <c r="B23" s="27" t="s">
        <v>114</v>
      </c>
      <c r="C23" s="27"/>
      <c r="D23" s="27"/>
      <c r="E23" s="27"/>
      <c r="F23" s="27"/>
      <c r="G23" s="27"/>
      <c r="H23" s="27"/>
      <c r="K23" s="101" t="s">
        <v>63</v>
      </c>
      <c r="L23" s="102"/>
      <c r="M23" s="130">
        <f>(M12*M21)+(M19*M22)</f>
        <v>9.7987499999999991E-2</v>
      </c>
      <c r="O23" s="27"/>
      <c r="P23" s="27"/>
      <c r="Q23" s="27"/>
      <c r="R23" s="27"/>
      <c r="S23" s="27"/>
      <c r="T23" s="27"/>
      <c r="U23" s="2"/>
      <c r="V23" s="2"/>
      <c r="W23" s="2"/>
      <c r="X23" s="2"/>
      <c r="Y23" s="2"/>
      <c r="Z23" s="2"/>
    </row>
    <row r="24" spans="1:26" ht="16.2" outlineLevel="1" x14ac:dyDescent="0.45">
      <c r="A24" s="2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14"/>
      <c r="O24" s="27"/>
      <c r="P24" s="27"/>
      <c r="Q24" s="27"/>
      <c r="R24" s="27"/>
      <c r="S24" s="27"/>
      <c r="T24" s="27"/>
      <c r="U24" s="2"/>
      <c r="V24" s="2"/>
      <c r="W24" s="2"/>
      <c r="X24" s="2"/>
      <c r="Y24" s="2"/>
      <c r="Z24" s="2"/>
    </row>
    <row r="25" spans="1:26" ht="16.2" outlineLevel="1" x14ac:dyDescent="0.45">
      <c r="A25" s="2"/>
      <c r="B25" s="62" t="s">
        <v>35</v>
      </c>
      <c r="C25" s="82"/>
      <c r="D25" s="82"/>
      <c r="E25" s="82"/>
      <c r="F25" s="62" t="s">
        <v>52</v>
      </c>
      <c r="G25" s="62">
        <f>YEAR(G26)</f>
        <v>2026</v>
      </c>
      <c r="H25" s="62">
        <f t="shared" ref="H25:J25" si="0">YEAR(H26)</f>
        <v>2027</v>
      </c>
      <c r="I25" s="62">
        <f t="shared" si="0"/>
        <v>2028</v>
      </c>
      <c r="J25" s="62">
        <f t="shared" si="0"/>
        <v>2029</v>
      </c>
      <c r="K25" s="62">
        <f>YEAR(K26)</f>
        <v>2030</v>
      </c>
      <c r="L25" s="62">
        <f t="shared" ref="L25:M25" si="1">YEAR(L26)</f>
        <v>2031</v>
      </c>
      <c r="M25" s="62">
        <f t="shared" si="1"/>
        <v>2032</v>
      </c>
      <c r="N25" s="215"/>
      <c r="R25" s="27"/>
      <c r="S25" s="27"/>
      <c r="T25" s="27"/>
      <c r="U25" s="2"/>
      <c r="V25" s="2"/>
      <c r="W25" s="2"/>
      <c r="X25" s="2"/>
      <c r="Y25" s="2"/>
      <c r="Z25" s="2"/>
    </row>
    <row r="26" spans="1:26" ht="16.2" outlineLevel="1" x14ac:dyDescent="0.45">
      <c r="A26" s="2"/>
      <c r="B26" s="68" t="s">
        <v>51</v>
      </c>
      <c r="C26" s="27"/>
      <c r="D26" s="27"/>
      <c r="E26" s="27"/>
      <c r="F26" s="124">
        <f ca="1">+D11</f>
        <v>46064</v>
      </c>
      <c r="G26" s="124">
        <f>DATE(YEAR($D$12)+F27,MONTH($D$12),DAY($D$12))</f>
        <v>46387</v>
      </c>
      <c r="H26" s="124">
        <f>DATE(YEAR($D$12)+G27,MONTH($D$12),DAY($D$12))</f>
        <v>46752</v>
      </c>
      <c r="I26" s="124">
        <f>DATE(YEAR($D$12)+H27,MONTH($D$12),DAY($D$12))</f>
        <v>47118</v>
      </c>
      <c r="J26" s="124">
        <f>DATE(YEAR($D$12)+I27,MONTH($D$12),DAY($D$12))</f>
        <v>47483</v>
      </c>
      <c r="K26" s="124">
        <f>DATE(YEAR($D$12)+J27,MONTH($D$12),DAY($D$12))</f>
        <v>47848</v>
      </c>
      <c r="L26" s="124">
        <f t="shared" ref="L26" si="2">DATE(YEAR($D$12)+K27,MONTH($D$12),DAY($D$12))</f>
        <v>48213</v>
      </c>
      <c r="M26" s="124">
        <f>DATE(YEAR($D$12)+L27,MONTH($D$12),DAY($D$12))</f>
        <v>48579</v>
      </c>
      <c r="N26" s="216"/>
      <c r="R26" s="27"/>
      <c r="S26" s="27"/>
      <c r="T26" s="27"/>
      <c r="U26" s="2"/>
      <c r="V26" s="2"/>
      <c r="W26" s="2"/>
      <c r="X26" s="2"/>
      <c r="Y26" s="2"/>
      <c r="Z26" s="2"/>
    </row>
    <row r="27" spans="1:26" ht="16.2" outlineLevel="1" x14ac:dyDescent="0.45">
      <c r="A27" s="2"/>
      <c r="B27" s="68" t="s">
        <v>53</v>
      </c>
      <c r="C27" s="27"/>
      <c r="D27" s="27"/>
      <c r="E27" s="27"/>
      <c r="F27" s="126">
        <v>0</v>
      </c>
      <c r="G27" s="68">
        <f>F27+1</f>
        <v>1</v>
      </c>
      <c r="H27" s="68">
        <f t="shared" ref="H27:K27" si="3">G27+1</f>
        <v>2</v>
      </c>
      <c r="I27" s="68">
        <f t="shared" si="3"/>
        <v>3</v>
      </c>
      <c r="J27" s="68">
        <f t="shared" si="3"/>
        <v>4</v>
      </c>
      <c r="K27" s="68">
        <f t="shared" si="3"/>
        <v>5</v>
      </c>
      <c r="L27" s="68">
        <f t="shared" ref="L27" si="4">K27+1</f>
        <v>6</v>
      </c>
      <c r="M27" s="68">
        <f t="shared" ref="M27" si="5">L27+1</f>
        <v>7</v>
      </c>
      <c r="N27" s="214"/>
      <c r="R27" s="27"/>
      <c r="S27" s="27"/>
      <c r="T27" s="27"/>
      <c r="U27" s="2"/>
      <c r="V27" s="2"/>
      <c r="W27" s="2"/>
      <c r="X27" s="2"/>
      <c r="Y27" s="2"/>
      <c r="Z27" s="2"/>
    </row>
    <row r="28" spans="1:26" ht="16.2" outlineLevel="1" x14ac:dyDescent="0.45">
      <c r="A28" s="2"/>
      <c r="B28" s="68" t="s">
        <v>60</v>
      </c>
      <c r="C28" s="27"/>
      <c r="D28" s="27"/>
      <c r="E28" s="27"/>
      <c r="F28" s="27"/>
      <c r="G28" s="128">
        <f ca="1">YEARFRAC(F26,G26)</f>
        <v>0.88888888888888884</v>
      </c>
      <c r="H28" s="128">
        <f t="shared" ref="H28:K28" si="6">YEARFRAC(G26,H26)</f>
        <v>1</v>
      </c>
      <c r="I28" s="128">
        <f t="shared" si="6"/>
        <v>1</v>
      </c>
      <c r="J28" s="128">
        <f t="shared" si="6"/>
        <v>1</v>
      </c>
      <c r="K28" s="128">
        <f t="shared" si="6"/>
        <v>1</v>
      </c>
      <c r="L28" s="128">
        <f t="shared" ref="L28" si="7">YEARFRAC(K26,L26)</f>
        <v>1</v>
      </c>
      <c r="M28" s="128">
        <f t="shared" ref="M28" si="8">YEARFRAC(L26,M26)</f>
        <v>1</v>
      </c>
      <c r="N28" s="214"/>
      <c r="R28" s="27"/>
      <c r="S28" s="27"/>
      <c r="T28" s="27"/>
      <c r="U28" s="2"/>
      <c r="V28" s="2"/>
      <c r="W28" s="2"/>
      <c r="X28" s="2"/>
      <c r="Y28" s="2"/>
      <c r="Z28" s="2"/>
    </row>
    <row r="29" spans="1:26" ht="16.2" outlineLevel="1" x14ac:dyDescent="0.45">
      <c r="B29" s="27"/>
      <c r="C29" s="27"/>
      <c r="D29" s="27"/>
      <c r="E29" s="27"/>
      <c r="F29" s="27"/>
      <c r="G29" s="27"/>
      <c r="H29" s="27"/>
      <c r="I29" s="27"/>
      <c r="J29" s="27"/>
      <c r="K29" s="27"/>
      <c r="M29" s="27"/>
      <c r="N29" s="214"/>
      <c r="R29" s="27"/>
      <c r="S29" s="27"/>
      <c r="T29" s="27"/>
    </row>
    <row r="30" spans="1:26" ht="16.2" outlineLevel="1" x14ac:dyDescent="0.45">
      <c r="A30" s="2"/>
      <c r="B30" s="27" t="s">
        <v>4</v>
      </c>
      <c r="C30" s="27"/>
      <c r="D30" s="27"/>
      <c r="E30" s="27"/>
      <c r="F30" s="27"/>
      <c r="G30" s="25">
        <f ca="1">+'P&amp;L'!L34</f>
        <v>12212.307264999998</v>
      </c>
      <c r="H30" s="25">
        <f ca="1">+'P&amp;L'!M34</f>
        <v>12908.198773550004</v>
      </c>
      <c r="I30" s="25">
        <f ca="1">+'P&amp;L'!N34</f>
        <v>15813.688832567503</v>
      </c>
      <c r="J30" s="25">
        <f ca="1">+'P&amp;L'!O34</f>
        <v>16588.580267070884</v>
      </c>
      <c r="K30" s="25">
        <f ca="1">+'P&amp;L'!P34</f>
        <v>17401.347657907554</v>
      </c>
      <c r="L30" s="25">
        <f ca="1">+'P&amp;L'!Q34</f>
        <v>18253.83702904762</v>
      </c>
      <c r="M30" s="25">
        <f ca="1">+'P&amp;L'!R34</f>
        <v>19147.984078098161</v>
      </c>
      <c r="N30" s="214"/>
      <c r="R30" s="27"/>
      <c r="S30" s="27"/>
      <c r="T30" s="27"/>
      <c r="U30" s="2"/>
      <c r="V30" s="2"/>
      <c r="W30" s="2"/>
      <c r="X30" s="2"/>
      <c r="Y30" s="2"/>
      <c r="Z30" s="2"/>
    </row>
    <row r="31" spans="1:26" ht="16.2" outlineLevel="1" x14ac:dyDescent="0.45">
      <c r="A31" s="2"/>
      <c r="B31" s="27" t="s">
        <v>167</v>
      </c>
      <c r="C31" s="27"/>
      <c r="D31" s="27"/>
      <c r="E31" s="27"/>
      <c r="F31" s="27"/>
      <c r="G31" s="25">
        <f ca="1">'P&amp;L'!L37</f>
        <v>-1927.6335256499995</v>
      </c>
      <c r="H31" s="25">
        <f ca="1">'P&amp;L'!M37</f>
        <v>-2109.3775700213046</v>
      </c>
      <c r="I31" s="25">
        <f ca="1">'P&amp;L'!N37</f>
        <v>-2757.6297879210897</v>
      </c>
      <c r="J31" s="25">
        <f ca="1">'P&amp;L'!O37</f>
        <v>-2961.1232460583374</v>
      </c>
      <c r="K31" s="25">
        <f ca="1">'P&amp;L'!P37</f>
        <v>-3175.4242930079836</v>
      </c>
      <c r="L31" s="25">
        <f ca="1">'P&amp;L'!Q37</f>
        <v>-3401.1203484625194</v>
      </c>
      <c r="M31" s="25">
        <f ca="1">'P&amp;L'!R37</f>
        <v>-3638.8316464043137</v>
      </c>
      <c r="N31" s="214"/>
      <c r="R31" s="27"/>
      <c r="S31" s="27"/>
      <c r="T31" s="27"/>
      <c r="U31" s="2"/>
      <c r="V31" s="2"/>
      <c r="W31" s="2"/>
      <c r="X31" s="2"/>
      <c r="Y31" s="2"/>
      <c r="Z31" s="2"/>
    </row>
    <row r="32" spans="1:26" ht="16.2" outlineLevel="1" x14ac:dyDescent="0.45">
      <c r="A32" s="2"/>
      <c r="B32" s="27" t="s">
        <v>54</v>
      </c>
      <c r="C32" s="27"/>
      <c r="D32" s="27"/>
      <c r="E32" s="27"/>
      <c r="F32" s="27"/>
      <c r="G32" s="25">
        <f ca="1">+'P&amp;L'!L32*-1</f>
        <v>2649.5</v>
      </c>
      <c r="H32" s="25">
        <f ca="1">+'P&amp;L'!M32*-1</f>
        <v>2993.9349999999999</v>
      </c>
      <c r="I32" s="25">
        <f ca="1">+'P&amp;L'!N32*-1</f>
        <v>3158.6014250000003</v>
      </c>
      <c r="J32" s="25">
        <f ca="1">+'P&amp;L'!O32*-1</f>
        <v>3332.3245033749999</v>
      </c>
      <c r="K32" s="25">
        <f ca="1">+'P&amp;L'!P32*-1</f>
        <v>3515.6023510606251</v>
      </c>
      <c r="L32" s="25">
        <f ca="1">+'P&amp;L'!Q32*-1</f>
        <v>3708.9604803689595</v>
      </c>
      <c r="M32" s="25">
        <f ca="1">+'P&amp;L'!R32*-1</f>
        <v>3912.953306789253</v>
      </c>
      <c r="N32" s="214"/>
      <c r="R32" s="27"/>
      <c r="S32" s="27"/>
      <c r="T32" s="27"/>
      <c r="U32" s="2"/>
      <c r="V32" s="2"/>
      <c r="W32" s="2"/>
      <c r="X32" s="2"/>
      <c r="Y32" s="2"/>
      <c r="Z32" s="2"/>
    </row>
    <row r="33" spans="1:26" ht="16.2" outlineLevel="1" x14ac:dyDescent="0.45">
      <c r="A33" s="2"/>
      <c r="B33" s="27" t="s">
        <v>55</v>
      </c>
      <c r="C33" s="27"/>
      <c r="D33" s="27"/>
      <c r="E33" s="27"/>
      <c r="F33" s="27"/>
      <c r="G33" s="25">
        <f ca="1">+'Balance Sheet '!L48*-1</f>
        <v>-4617.7</v>
      </c>
      <c r="H33" s="25">
        <f ca="1">+'Balance Sheet '!M48*-1</f>
        <v>-3934.8860000000004</v>
      </c>
      <c r="I33" s="25">
        <f ca="1">+'Balance Sheet '!N48*-1</f>
        <v>-4151.3047300000007</v>
      </c>
      <c r="J33" s="25">
        <f ca="1">+'Balance Sheet '!O48*-1</f>
        <v>-4379.6264901500008</v>
      </c>
      <c r="K33" s="25">
        <f ca="1">+'Balance Sheet '!P48*-1</f>
        <v>-4620.5059471082504</v>
      </c>
      <c r="L33" s="25">
        <f ca="1">+'Balance Sheet '!Q48*-1</f>
        <v>-4874.6337741992047</v>
      </c>
      <c r="M33" s="25">
        <f ca="1">+'Balance Sheet '!R48*-1</f>
        <v>-5142.7386317801611</v>
      </c>
      <c r="N33" s="214"/>
      <c r="R33" s="27"/>
      <c r="S33" s="27"/>
      <c r="T33" s="27"/>
      <c r="U33" s="2"/>
      <c r="V33" s="2"/>
      <c r="W33" s="2"/>
      <c r="X33" s="2"/>
      <c r="Y33" s="2"/>
      <c r="Z33" s="2"/>
    </row>
    <row r="34" spans="1:26" ht="16.2" outlineLevel="1" x14ac:dyDescent="0.45">
      <c r="A34" s="2"/>
      <c r="B34" s="27" t="s">
        <v>56</v>
      </c>
      <c r="C34" s="27"/>
      <c r="D34" s="27"/>
      <c r="E34" s="27"/>
      <c r="F34" s="27"/>
      <c r="G34" s="25">
        <f ca="1">+'Cash Flow'!L21</f>
        <v>1317.5987764383608</v>
      </c>
      <c r="H34" s="25">
        <f ca="1">+'Cash Flow'!M21</f>
        <v>479.61191435068213</v>
      </c>
      <c r="I34" s="25">
        <f ca="1">+'Cash Flow'!N21</f>
        <v>-1055.9021065782126</v>
      </c>
      <c r="J34" s="25">
        <f ca="1">+'Cash Flow'!O21</f>
        <v>313.76542921053442</v>
      </c>
      <c r="K34" s="25">
        <f ca="1">+'Cash Flow'!P21</f>
        <v>329.45370067106705</v>
      </c>
      <c r="L34" s="25">
        <f ca="1">+'Cash Flow'!Q21</f>
        <v>345.92638570462441</v>
      </c>
      <c r="M34" s="25">
        <f ca="1">+'Cash Flow'!R21</f>
        <v>363.22270498985199</v>
      </c>
      <c r="N34" s="218"/>
      <c r="R34" s="27"/>
      <c r="S34" s="27"/>
      <c r="T34" s="27"/>
      <c r="U34" s="2"/>
      <c r="V34" s="2"/>
      <c r="W34" s="2"/>
      <c r="X34" s="2"/>
      <c r="Y34" s="2"/>
      <c r="Z34" s="2"/>
    </row>
    <row r="35" spans="1:26" ht="16.2" outlineLevel="1" x14ac:dyDescent="0.45">
      <c r="A35" s="2"/>
      <c r="B35" s="104" t="s">
        <v>168</v>
      </c>
      <c r="C35" s="104"/>
      <c r="D35" s="104"/>
      <c r="E35" s="104"/>
      <c r="F35" s="104"/>
      <c r="G35" s="95">
        <f ca="1">SUM(G30:G34)</f>
        <v>9634.0725157883608</v>
      </c>
      <c r="H35" s="95">
        <f t="shared" ref="H35:M35" ca="1" si="9">SUM(H30:H34)</f>
        <v>10337.482117879381</v>
      </c>
      <c r="I35" s="95">
        <f t="shared" ca="1" si="9"/>
        <v>11007.4536330682</v>
      </c>
      <c r="J35" s="95">
        <f ca="1">SUM(J30:J34)</f>
        <v>12893.920463448079</v>
      </c>
      <c r="K35" s="95">
        <f t="shared" ca="1" si="9"/>
        <v>13450.473469523015</v>
      </c>
      <c r="L35" s="95">
        <f t="shared" ca="1" si="9"/>
        <v>14032.969772459479</v>
      </c>
      <c r="M35" s="95">
        <f t="shared" ca="1" si="9"/>
        <v>14642.589811692791</v>
      </c>
      <c r="N35" s="218"/>
      <c r="R35" s="27"/>
      <c r="S35" s="27"/>
      <c r="T35" s="27"/>
      <c r="U35" s="2"/>
      <c r="V35" s="2"/>
      <c r="W35" s="2"/>
      <c r="X35" s="2"/>
      <c r="Y35" s="2"/>
      <c r="Z35" s="2"/>
    </row>
    <row r="36" spans="1:26" ht="16.2" outlineLevel="1" x14ac:dyDescent="0.45">
      <c r="A36" s="2"/>
      <c r="B36" s="27" t="s">
        <v>352</v>
      </c>
      <c r="C36" s="27"/>
      <c r="D36" s="27"/>
      <c r="E36" s="27"/>
      <c r="F36" s="25"/>
      <c r="G36" s="25"/>
      <c r="H36" s="25"/>
      <c r="I36" s="25"/>
      <c r="J36" s="25"/>
      <c r="K36" s="25"/>
      <c r="L36" s="25"/>
      <c r="M36" s="25">
        <f ca="1">P45</f>
        <v>221832.94732183969</v>
      </c>
      <c r="N36" s="219"/>
      <c r="R36" s="27"/>
      <c r="S36" s="27"/>
      <c r="T36" s="27"/>
      <c r="U36" s="2"/>
      <c r="V36" s="2"/>
      <c r="W36" s="2"/>
      <c r="X36" s="2"/>
      <c r="Y36" s="2"/>
      <c r="Z36" s="2"/>
    </row>
    <row r="37" spans="1:26" ht="16.2" outlineLevel="1" x14ac:dyDescent="0.45">
      <c r="A37" s="2"/>
      <c r="B37" s="104" t="s">
        <v>70</v>
      </c>
      <c r="C37" s="104"/>
      <c r="D37" s="104"/>
      <c r="E37" s="104"/>
      <c r="F37" s="95"/>
      <c r="G37" s="95">
        <f ca="1">SUM(G35:G36)*G28</f>
        <v>8563.6200140340989</v>
      </c>
      <c r="H37" s="95">
        <f t="shared" ref="H37:M37" ca="1" si="10">SUM(H35:H36)*H28</f>
        <v>10337.482117879381</v>
      </c>
      <c r="I37" s="95">
        <f ca="1">SUM(I35:I36)*I28</f>
        <v>11007.4536330682</v>
      </c>
      <c r="J37" s="95">
        <f t="shared" ca="1" si="10"/>
        <v>12893.920463448079</v>
      </c>
      <c r="K37" s="95">
        <f t="shared" ca="1" si="10"/>
        <v>13450.473469523015</v>
      </c>
      <c r="L37" s="95">
        <f t="shared" ca="1" si="10"/>
        <v>14032.969772459479</v>
      </c>
      <c r="M37" s="95">
        <f ca="1">SUM(M35:M36)*M28</f>
        <v>236475.53713353249</v>
      </c>
      <c r="N37" s="220"/>
      <c r="R37" s="27"/>
      <c r="S37" s="27"/>
      <c r="T37" s="27"/>
      <c r="U37" s="2"/>
      <c r="V37" s="2"/>
      <c r="W37" s="2"/>
      <c r="X37" s="2"/>
      <c r="Y37" s="2"/>
      <c r="Z37" s="2"/>
    </row>
    <row r="38" spans="1:26" ht="16.2" outlineLevel="1" x14ac:dyDescent="0.45">
      <c r="A38" s="2"/>
      <c r="B38" s="29" t="s">
        <v>169</v>
      </c>
      <c r="C38" s="27"/>
      <c r="D38" s="27"/>
      <c r="E38" s="27"/>
      <c r="F38" s="84"/>
      <c r="G38" s="84">
        <f t="shared" ref="G38:M38" ca="1" si="11">G37</f>
        <v>8563.6200140340989</v>
      </c>
      <c r="H38" s="84">
        <f t="shared" ca="1" si="11"/>
        <v>10337.482117879381</v>
      </c>
      <c r="I38" s="84">
        <f t="shared" ca="1" si="11"/>
        <v>11007.4536330682</v>
      </c>
      <c r="J38" s="84">
        <f t="shared" ca="1" si="11"/>
        <v>12893.920463448079</v>
      </c>
      <c r="K38" s="84">
        <f t="shared" ca="1" si="11"/>
        <v>13450.473469523015</v>
      </c>
      <c r="L38" s="84">
        <f t="shared" ca="1" si="11"/>
        <v>14032.969772459479</v>
      </c>
      <c r="M38" s="84">
        <f t="shared" ca="1" si="11"/>
        <v>236475.53713353249</v>
      </c>
      <c r="N38" s="217"/>
      <c r="R38" s="27"/>
      <c r="S38" s="27"/>
      <c r="T38" s="27"/>
      <c r="U38" s="2"/>
      <c r="V38" s="2"/>
      <c r="W38" s="2"/>
      <c r="X38" s="2"/>
      <c r="Y38" s="2"/>
      <c r="Z38" s="2"/>
    </row>
    <row r="39" spans="1:26" ht="16.2" outlineLevel="1" x14ac:dyDescent="0.45">
      <c r="A39" s="2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R39" s="27"/>
      <c r="S39" s="27"/>
      <c r="T39" s="27"/>
      <c r="U39" s="2"/>
      <c r="V39" s="2"/>
      <c r="W39" s="2"/>
      <c r="X39" s="2"/>
      <c r="Y39" s="2"/>
      <c r="Z39" s="2"/>
    </row>
    <row r="40" spans="1:26" ht="16.2" outlineLevel="1" x14ac:dyDescent="0.45">
      <c r="A40" s="2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9"/>
      <c r="O40" s="27"/>
      <c r="P40" s="27"/>
      <c r="Q40" s="27"/>
      <c r="R40" s="27"/>
      <c r="S40" s="27"/>
      <c r="T40" s="27"/>
      <c r="U40" s="2"/>
      <c r="V40" s="2"/>
      <c r="W40" s="2"/>
      <c r="X40" s="2"/>
      <c r="Y40" s="2"/>
      <c r="Z40" s="2"/>
    </row>
    <row r="41" spans="1:26" ht="16.2" outlineLevel="1" x14ac:dyDescent="0.45">
      <c r="A41" s="2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"/>
      <c r="V41" s="2"/>
      <c r="W41" s="2"/>
      <c r="X41" s="2"/>
      <c r="Y41" s="2"/>
      <c r="Z41" s="2"/>
    </row>
    <row r="42" spans="1:26" ht="16.2" outlineLevel="1" x14ac:dyDescent="0.45">
      <c r="A42" s="2"/>
      <c r="B42" s="62" t="s">
        <v>58</v>
      </c>
      <c r="C42" s="39"/>
      <c r="D42" s="39"/>
      <c r="E42" s="27"/>
      <c r="F42" s="62" t="s">
        <v>107</v>
      </c>
      <c r="G42" s="39"/>
      <c r="H42" s="39"/>
      <c r="I42" s="27"/>
      <c r="J42" s="62" t="s">
        <v>112</v>
      </c>
      <c r="K42" s="62"/>
      <c r="L42" s="62"/>
      <c r="M42" s="27"/>
      <c r="N42" s="62" t="s">
        <v>57</v>
      </c>
      <c r="O42" s="38"/>
      <c r="P42" s="38"/>
      <c r="Q42" s="198"/>
      <c r="R42" s="27"/>
      <c r="S42" s="27"/>
      <c r="T42" s="27"/>
      <c r="U42" s="2"/>
      <c r="V42" s="2"/>
      <c r="W42" s="2"/>
      <c r="X42" s="2"/>
      <c r="Y42" s="2"/>
      <c r="Z42" s="2"/>
    </row>
    <row r="43" spans="1:26" ht="16.2" outlineLevel="1" x14ac:dyDescent="0.45">
      <c r="A43" s="2"/>
      <c r="B43" s="27" t="s">
        <v>236</v>
      </c>
      <c r="C43" s="27"/>
      <c r="D43" s="180">
        <f ca="1">+XNPV(M23,G38:M38,G26:M26)</f>
        <v>189778.10771782527</v>
      </c>
      <c r="E43" s="27"/>
      <c r="F43" s="27" t="s">
        <v>171</v>
      </c>
      <c r="G43" s="27"/>
      <c r="H43" s="180">
        <v>340209</v>
      </c>
      <c r="I43" s="27"/>
      <c r="J43" s="27" t="s">
        <v>174</v>
      </c>
      <c r="K43" s="27"/>
      <c r="L43" s="75">
        <f>+H48</f>
        <v>726.5</v>
      </c>
      <c r="M43" s="27"/>
      <c r="N43" s="27" t="s">
        <v>178</v>
      </c>
      <c r="O43" s="27"/>
      <c r="P43" s="75">
        <f ca="1">(M35*(1+D19))/(M23-D19)</f>
        <v>221832.94732183969</v>
      </c>
      <c r="Q43" s="75"/>
      <c r="R43" s="27"/>
      <c r="S43" s="27"/>
      <c r="T43" s="27"/>
      <c r="U43" s="2"/>
      <c r="V43" s="2"/>
      <c r="W43" s="2"/>
      <c r="X43" s="2"/>
      <c r="Y43" s="2"/>
      <c r="Z43" s="2"/>
    </row>
    <row r="44" spans="1:26" ht="16.2" outlineLevel="1" x14ac:dyDescent="0.45">
      <c r="A44" s="2"/>
      <c r="B44" s="27" t="s">
        <v>64</v>
      </c>
      <c r="C44" s="27"/>
      <c r="D44" s="180">
        <f>+'Balance Sheet '!K26</f>
        <v>9980</v>
      </c>
      <c r="E44" s="27"/>
      <c r="F44" s="27" t="s">
        <v>108</v>
      </c>
      <c r="G44" s="27"/>
      <c r="H44" s="180">
        <f>+'Balance Sheet '!K34</f>
        <v>43330</v>
      </c>
      <c r="I44" s="27"/>
      <c r="J44" s="27" t="s">
        <v>175</v>
      </c>
      <c r="K44" s="27"/>
      <c r="L44" s="75">
        <f ca="1">+D48</f>
        <v>327.25545547662193</v>
      </c>
      <c r="M44" s="27"/>
      <c r="N44" s="27" t="s">
        <v>46</v>
      </c>
      <c r="O44" s="27"/>
      <c r="P44" s="75"/>
      <c r="Q44" s="75"/>
      <c r="R44" s="27"/>
      <c r="S44" s="27"/>
      <c r="T44" s="27"/>
      <c r="U44" s="2"/>
      <c r="V44" s="2"/>
      <c r="W44" s="2"/>
      <c r="X44" s="2"/>
      <c r="Y44" s="2"/>
      <c r="Z44" s="2"/>
    </row>
    <row r="45" spans="1:26" ht="16.8" outlineLevel="1" thickBot="1" x14ac:dyDescent="0.5">
      <c r="A45" s="2"/>
      <c r="B45" s="27" t="s">
        <v>65</v>
      </c>
      <c r="C45" s="27"/>
      <c r="D45" s="180">
        <f>+'Balance Sheet '!K34</f>
        <v>43330</v>
      </c>
      <c r="E45" s="27"/>
      <c r="F45" s="27" t="s">
        <v>109</v>
      </c>
      <c r="G45" s="27"/>
      <c r="H45" s="180">
        <f>+'Balance Sheet '!K26</f>
        <v>9980</v>
      </c>
      <c r="I45" s="27"/>
      <c r="J45" s="27" t="s">
        <v>176</v>
      </c>
      <c r="K45" s="27"/>
      <c r="L45" s="75">
        <f ca="1">+L44-L43</f>
        <v>-399.24454452337807</v>
      </c>
      <c r="M45" s="27"/>
      <c r="N45" s="102" t="s">
        <v>67</v>
      </c>
      <c r="O45" s="102"/>
      <c r="P45" s="131">
        <f ca="1">AVERAGE(P43:P44)</f>
        <v>221832.94732183969</v>
      </c>
      <c r="Q45" s="75"/>
      <c r="R45" s="27"/>
      <c r="S45" s="27"/>
      <c r="T45" s="27"/>
      <c r="U45" s="2"/>
      <c r="V45" s="2"/>
      <c r="W45" s="2"/>
      <c r="X45" s="2"/>
      <c r="Y45" s="2"/>
      <c r="Z45" s="2"/>
    </row>
    <row r="46" spans="1:26" ht="16.2" outlineLevel="1" x14ac:dyDescent="0.45">
      <c r="A46" s="2"/>
      <c r="B46" s="27" t="s">
        <v>172</v>
      </c>
      <c r="C46" s="27"/>
      <c r="D46" s="181">
        <f ca="1">+D43+D44-D45</f>
        <v>156428.10771782527</v>
      </c>
      <c r="E46" s="27"/>
      <c r="F46" s="27" t="s">
        <v>170</v>
      </c>
      <c r="G46" s="27"/>
      <c r="H46" s="181">
        <f>+H43+H44-H45</f>
        <v>373559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"/>
      <c r="V46" s="2"/>
      <c r="W46" s="2"/>
      <c r="X46" s="2"/>
      <c r="Y46" s="2"/>
      <c r="Z46" s="2"/>
    </row>
    <row r="47" spans="1:26" ht="16.2" outlineLevel="1" x14ac:dyDescent="0.45">
      <c r="A47" s="2"/>
      <c r="B47" s="27"/>
      <c r="C47" s="27"/>
      <c r="D47" s="27"/>
      <c r="E47" s="27"/>
      <c r="F47" s="27"/>
      <c r="G47" s="27"/>
      <c r="H47" s="27"/>
      <c r="I47" s="27"/>
      <c r="J47" s="62" t="s">
        <v>59</v>
      </c>
      <c r="K47" s="39"/>
      <c r="L47" s="39"/>
      <c r="M47" s="27"/>
      <c r="N47" s="27"/>
      <c r="O47" s="27"/>
      <c r="P47" s="27"/>
      <c r="Q47" s="27"/>
      <c r="R47" s="27"/>
      <c r="S47" s="27"/>
      <c r="T47" s="27"/>
      <c r="U47" s="2"/>
      <c r="V47" s="2"/>
      <c r="W47" s="2"/>
      <c r="X47" s="2"/>
      <c r="Y47" s="2"/>
      <c r="Z47" s="2"/>
    </row>
    <row r="48" spans="1:26" ht="16.2" outlineLevel="1" x14ac:dyDescent="0.45">
      <c r="A48" s="2"/>
      <c r="B48" s="27" t="s">
        <v>173</v>
      </c>
      <c r="C48" s="27"/>
      <c r="D48" s="77">
        <f ca="1">+D46/D21</f>
        <v>327.25545547662193</v>
      </c>
      <c r="E48" s="27"/>
      <c r="F48" s="27" t="s">
        <v>173</v>
      </c>
      <c r="G48" s="27"/>
      <c r="H48" s="27">
        <f>+D20</f>
        <v>726.5</v>
      </c>
      <c r="I48" s="27"/>
      <c r="J48" s="27" t="s">
        <v>177</v>
      </c>
      <c r="K48" s="27"/>
      <c r="L48" s="147">
        <f ca="1">+L45/L44</f>
        <v>-1.2199782703145763</v>
      </c>
      <c r="M48" s="27"/>
      <c r="N48" s="27"/>
      <c r="O48" s="27"/>
      <c r="P48" s="27"/>
      <c r="Q48" s="27"/>
      <c r="R48" s="27"/>
      <c r="S48" s="27"/>
      <c r="T48" s="27"/>
      <c r="U48" s="2"/>
      <c r="V48" s="2"/>
      <c r="W48" s="2"/>
      <c r="X48" s="2"/>
      <c r="Y48" s="2"/>
      <c r="Z48" s="2"/>
    </row>
    <row r="49" spans="1:26" ht="16.8" thickBot="1" x14ac:dyDescent="0.5">
      <c r="A49" s="2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132"/>
      <c r="M49" s="27"/>
      <c r="N49" s="68" t="s">
        <v>120</v>
      </c>
      <c r="O49" s="68"/>
      <c r="P49" s="27"/>
      <c r="Q49" s="27"/>
      <c r="R49" s="27"/>
      <c r="S49" s="27"/>
      <c r="T49" s="27"/>
      <c r="U49" s="2"/>
      <c r="V49" s="2"/>
      <c r="W49" s="2"/>
      <c r="X49" s="2"/>
      <c r="Y49" s="2"/>
      <c r="Z49" s="2"/>
    </row>
    <row r="50" spans="1:26" ht="16.2" x14ac:dyDescent="0.45">
      <c r="A50" s="2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68" t="s">
        <v>121</v>
      </c>
      <c r="O50" s="68"/>
      <c r="P50" s="27"/>
      <c r="Q50" s="27"/>
      <c r="R50" s="27"/>
      <c r="S50" s="27"/>
      <c r="T50" s="27"/>
      <c r="U50" s="2"/>
      <c r="V50" s="2"/>
      <c r="W50" s="2"/>
      <c r="X50" s="2"/>
      <c r="Y50" s="2"/>
      <c r="Z50" s="2"/>
    </row>
    <row r="51" spans="1:26" ht="16.2" x14ac:dyDescent="0.45">
      <c r="A51" s="2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"/>
      <c r="V51" s="2"/>
      <c r="W51" s="2"/>
      <c r="X51" s="2"/>
      <c r="Y51" s="2"/>
      <c r="Z51" s="2"/>
    </row>
    <row r="52" spans="1:26" ht="16.2" x14ac:dyDescent="0.45">
      <c r="A52" s="2"/>
      <c r="B52" s="2"/>
      <c r="C52" s="2"/>
      <c r="D52" s="2"/>
      <c r="E52" s="2"/>
      <c r="F52" s="2"/>
      <c r="G52" s="2"/>
      <c r="H52" s="2"/>
      <c r="I52" s="2"/>
      <c r="O52" s="27"/>
      <c r="P52" s="27"/>
      <c r="Q52" s="27"/>
      <c r="R52" s="27"/>
      <c r="S52" s="27"/>
      <c r="T52" s="27"/>
    </row>
    <row r="53" spans="1:26" ht="16.2" x14ac:dyDescent="0.45">
      <c r="A53" s="2"/>
      <c r="B53" s="2"/>
      <c r="C53" s="2"/>
      <c r="D53" s="2"/>
      <c r="E53" s="2"/>
      <c r="F53" s="2"/>
      <c r="G53" s="2"/>
      <c r="H53" s="2"/>
      <c r="I53" s="2"/>
      <c r="O53" s="27"/>
      <c r="P53" s="27"/>
      <c r="Q53" s="27"/>
      <c r="R53" s="27"/>
      <c r="S53" s="27"/>
      <c r="T53" s="27"/>
    </row>
    <row r="54" spans="1:26" ht="16.2" x14ac:dyDescent="0.45">
      <c r="A54" s="2"/>
      <c r="B54" s="134" t="s">
        <v>115</v>
      </c>
      <c r="C54" s="134"/>
      <c r="D54" s="135"/>
      <c r="E54" s="134"/>
      <c r="F54" s="134"/>
      <c r="G54" s="133"/>
      <c r="H54" s="2"/>
      <c r="I54" s="2"/>
      <c r="O54" s="27"/>
      <c r="P54" s="27"/>
      <c r="Q54" s="27"/>
      <c r="R54" s="27"/>
      <c r="S54" s="27"/>
      <c r="T54" s="27"/>
    </row>
    <row r="55" spans="1:26" ht="16.2" x14ac:dyDescent="0.45">
      <c r="A55" s="2"/>
      <c r="B55" s="134" t="s">
        <v>116</v>
      </c>
      <c r="C55" s="134"/>
      <c r="D55" s="135"/>
      <c r="E55" s="134"/>
      <c r="F55" s="134"/>
      <c r="G55" s="133"/>
      <c r="H55" s="2"/>
      <c r="I55" s="2"/>
      <c r="O55" s="27"/>
      <c r="P55" s="27"/>
      <c r="Q55" s="27"/>
      <c r="R55" s="27"/>
      <c r="S55" s="27"/>
      <c r="T55" s="27"/>
    </row>
    <row r="56" spans="1:26" ht="16.2" x14ac:dyDescent="0.45">
      <c r="A56" s="2"/>
      <c r="B56" s="136" t="s">
        <v>117</v>
      </c>
      <c r="C56" s="134"/>
      <c r="D56" s="135"/>
      <c r="E56" s="134"/>
      <c r="F56" s="134"/>
      <c r="G56" s="133"/>
      <c r="H56" s="2"/>
      <c r="I56" s="2"/>
      <c r="O56" s="27"/>
      <c r="P56" s="27"/>
      <c r="Q56" s="27"/>
      <c r="R56" s="27"/>
      <c r="S56" s="27"/>
      <c r="T56" s="27"/>
    </row>
    <row r="57" spans="1:26" ht="16.2" x14ac:dyDescent="0.45">
      <c r="A57" s="2"/>
      <c r="B57" s="136" t="s">
        <v>118</v>
      </c>
      <c r="C57" s="134"/>
      <c r="D57" s="135"/>
      <c r="E57" s="134"/>
      <c r="F57" s="134"/>
      <c r="H57" s="2"/>
      <c r="I57" s="2"/>
      <c r="O57" s="27"/>
      <c r="P57" s="27"/>
      <c r="Q57" s="27"/>
      <c r="R57" s="27"/>
      <c r="S57" s="27"/>
      <c r="T57" s="27"/>
    </row>
    <row r="58" spans="1:26" ht="16.2" x14ac:dyDescent="0.45">
      <c r="A58" s="2"/>
      <c r="B58" s="136" t="s">
        <v>119</v>
      </c>
      <c r="C58" s="134"/>
      <c r="D58" s="135"/>
      <c r="E58" s="134"/>
      <c r="F58" s="134"/>
      <c r="H58" s="2"/>
      <c r="I58" s="2"/>
      <c r="O58" s="27"/>
      <c r="P58" s="27"/>
      <c r="Q58" s="27"/>
      <c r="R58" s="27"/>
      <c r="S58" s="27"/>
      <c r="T58" s="27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</row>
    <row r="65" spans="1:14" x14ac:dyDescent="0.3">
      <c r="A65" s="2"/>
      <c r="B65" s="2"/>
      <c r="C65" s="2"/>
      <c r="D65" s="2"/>
      <c r="E65" s="2"/>
      <c r="F65" s="2"/>
      <c r="G65" s="2"/>
      <c r="H65" s="2"/>
      <c r="I65" s="2"/>
    </row>
    <row r="66" spans="1:14" x14ac:dyDescent="0.3">
      <c r="A66" s="2"/>
      <c r="B66" s="2"/>
      <c r="C66" s="2"/>
      <c r="D66" s="2"/>
      <c r="E66" s="2"/>
      <c r="F66" s="2"/>
      <c r="G66" s="2"/>
      <c r="H66" s="2"/>
      <c r="I66" s="2"/>
    </row>
    <row r="67" spans="1:1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26" x14ac:dyDescent="0.3">
      <c r="A81" s="2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26" x14ac:dyDescent="0.3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2" x14ac:dyDescent="0.45">
      <c r="G95" s="133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2" x14ac:dyDescent="0.45">
      <c r="G96" s="133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5:26" x14ac:dyDescent="0.3"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5:26" x14ac:dyDescent="0.3">
      <c r="O98" s="6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5:26" x14ac:dyDescent="0.3"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5:26" x14ac:dyDescent="0.3"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5:26" x14ac:dyDescent="0.3"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5:26" x14ac:dyDescent="0.3"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5:26" x14ac:dyDescent="0.3"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5:26" x14ac:dyDescent="0.3"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5:26" x14ac:dyDescent="0.3"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5:26" x14ac:dyDescent="0.3"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5:26" x14ac:dyDescent="0.3"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5:26" x14ac:dyDescent="0.3"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5:26" x14ac:dyDescent="0.3">
      <c r="S109" s="2"/>
      <c r="T109" s="2"/>
      <c r="U109" s="2"/>
      <c r="V109" s="2"/>
      <c r="W109" s="2"/>
      <c r="X109" s="2"/>
      <c r="Y109" s="2"/>
      <c r="Z109" s="2"/>
    </row>
    <row r="110" spans="15:26" x14ac:dyDescent="0.3">
      <c r="S110" s="2"/>
      <c r="T110" s="2"/>
      <c r="U110" s="2"/>
      <c r="V110" s="2"/>
      <c r="W110" s="2"/>
      <c r="X110" s="2"/>
      <c r="Y110" s="2"/>
      <c r="Z110" s="2"/>
    </row>
    <row r="111" spans="15:26" x14ac:dyDescent="0.3">
      <c r="S111" s="2"/>
      <c r="T111" s="2"/>
      <c r="U111" s="2"/>
      <c r="V111" s="2"/>
      <c r="W111" s="2"/>
      <c r="X111" s="2"/>
      <c r="Y111" s="2"/>
      <c r="Z111" s="2"/>
    </row>
    <row r="112" spans="15:26" x14ac:dyDescent="0.3">
      <c r="S112" s="2"/>
      <c r="T112" s="2"/>
      <c r="U112" s="2"/>
      <c r="V112" s="2"/>
      <c r="W112" s="2"/>
      <c r="X112" s="2"/>
      <c r="Y112" s="2"/>
      <c r="Z112" s="2"/>
    </row>
    <row r="113" spans="19:26" x14ac:dyDescent="0.3">
      <c r="S113" s="2"/>
      <c r="T113" s="2"/>
      <c r="U113" s="2"/>
      <c r="V113" s="2"/>
      <c r="W113" s="2"/>
      <c r="X113" s="2"/>
      <c r="Y113" s="2"/>
      <c r="Z113" s="2"/>
    </row>
    <row r="114" spans="19:26" x14ac:dyDescent="0.3">
      <c r="S114" s="2"/>
      <c r="T114" s="2"/>
      <c r="U114" s="2"/>
      <c r="V114" s="2"/>
      <c r="W114" s="2"/>
      <c r="X114" s="2"/>
      <c r="Y114" s="2"/>
      <c r="Z114" s="2"/>
    </row>
    <row r="115" spans="19:26" x14ac:dyDescent="0.3">
      <c r="S115" s="2"/>
      <c r="T115" s="2"/>
      <c r="U115" s="2"/>
      <c r="V115" s="2"/>
      <c r="W115" s="2"/>
      <c r="X115" s="2"/>
      <c r="Y115" s="2"/>
      <c r="Z115" s="2"/>
    </row>
    <row r="116" spans="19:26" x14ac:dyDescent="0.3">
      <c r="S116" s="2"/>
      <c r="T116" s="2"/>
      <c r="U116" s="2"/>
      <c r="V116" s="2"/>
      <c r="W116" s="2"/>
      <c r="X116" s="2"/>
      <c r="Y116" s="2"/>
      <c r="Z116" s="2"/>
    </row>
    <row r="117" spans="19:26" x14ac:dyDescent="0.3">
      <c r="S117" s="2"/>
      <c r="T117" s="2"/>
      <c r="U117" s="2"/>
      <c r="V117" s="2"/>
      <c r="W117" s="2"/>
      <c r="X117" s="2"/>
      <c r="Y117" s="2"/>
      <c r="Z117" s="2"/>
    </row>
    <row r="118" spans="19:26" x14ac:dyDescent="0.3">
      <c r="S118" s="2"/>
      <c r="T118" s="2"/>
      <c r="U118" s="2"/>
      <c r="V118" s="2"/>
      <c r="W118" s="2"/>
      <c r="X118" s="2"/>
      <c r="Y118" s="2"/>
      <c r="Z118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34F4-3E6A-4EB7-ABED-0C14420BA115}">
  <sheetPr>
    <tabColor rgb="FFC9F223"/>
  </sheetPr>
  <dimension ref="A1:Z61"/>
  <sheetViews>
    <sheetView showGridLines="0" zoomScaleNormal="100" workbookViewId="0">
      <pane ySplit="5" topLeftCell="A6" activePane="bottomLeft" state="frozen"/>
      <selection activeCell="P2" sqref="P2:P4"/>
      <selection pane="bottomLeft" activeCell="B16" sqref="B16"/>
    </sheetView>
  </sheetViews>
  <sheetFormatPr defaultRowHeight="14.4" x14ac:dyDescent="0.3"/>
  <cols>
    <col min="1" max="1" width="2.5546875" customWidth="1"/>
    <col min="2" max="7" width="12.77734375" customWidth="1"/>
    <col min="8" max="8" width="2.5546875" customWidth="1"/>
    <col min="9" max="12" width="12.77734375" customWidth="1"/>
    <col min="13" max="13" width="2.5546875" customWidth="1"/>
    <col min="14" max="17" width="12.77734375" customWidth="1"/>
  </cols>
  <sheetData>
    <row r="1" spans="1:26" ht="16.2" x14ac:dyDescent="0.4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27"/>
      <c r="S1" s="27"/>
    </row>
    <row r="2" spans="1:26" ht="27" x14ac:dyDescent="0.75">
      <c r="B2" s="116" t="s">
        <v>37</v>
      </c>
      <c r="C2" s="116"/>
      <c r="D2" s="35"/>
      <c r="E2" s="35"/>
      <c r="F2" s="32"/>
      <c r="G2" s="32"/>
      <c r="H2" s="32"/>
      <c r="I2" s="32"/>
      <c r="J2" s="32"/>
      <c r="K2" s="32"/>
      <c r="L2" s="32"/>
      <c r="M2" s="36"/>
      <c r="N2" s="36"/>
      <c r="O2" s="36"/>
      <c r="P2" s="36"/>
      <c r="Q2" s="36"/>
      <c r="R2" s="27"/>
      <c r="S2" s="27"/>
    </row>
    <row r="3" spans="1:26" ht="16.2" x14ac:dyDescent="0.45">
      <c r="B3" s="38" t="str">
        <f ca="1">'Cover Page'!E5&amp;" | "&amp;TEXT(TODAY(),"mmmm d, yyyy")</f>
        <v>Caterpillar Inc. (CAT) | February 11, 2026</v>
      </c>
      <c r="C3" s="38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27"/>
      <c r="S3" s="27"/>
    </row>
    <row r="4" spans="1:26" ht="16.2" x14ac:dyDescent="0.45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</row>
    <row r="5" spans="1:26" ht="16.8" thickBot="1" x14ac:dyDescent="0.5"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27"/>
      <c r="S5" s="27"/>
    </row>
    <row r="6" spans="1:26" ht="16.2" x14ac:dyDescent="0.45">
      <c r="B6" s="27" t="s">
        <v>240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spans="1:26" ht="21" customHeight="1" thickBot="1" x14ac:dyDescent="0.5">
      <c r="A7" s="2"/>
      <c r="B7" s="212" t="s">
        <v>38</v>
      </c>
      <c r="C7" s="212"/>
      <c r="D7" s="212"/>
      <c r="E7" s="213" t="s">
        <v>39</v>
      </c>
      <c r="F7" s="213"/>
      <c r="G7" s="213"/>
      <c r="H7" s="111"/>
      <c r="I7" s="213" t="s">
        <v>43</v>
      </c>
      <c r="J7" s="213"/>
      <c r="K7" s="213"/>
      <c r="L7" s="213"/>
      <c r="M7" s="111"/>
      <c r="N7" s="213" t="s">
        <v>10</v>
      </c>
      <c r="O7" s="213"/>
      <c r="P7" s="213"/>
      <c r="Q7" s="213"/>
      <c r="R7" s="19"/>
      <c r="S7" s="19"/>
      <c r="T7" s="2"/>
      <c r="U7" s="2"/>
      <c r="V7" s="2"/>
      <c r="W7" s="2"/>
      <c r="X7" s="2"/>
      <c r="Y7" s="2"/>
      <c r="Z7" s="2"/>
    </row>
    <row r="8" spans="1:26" ht="16.2" x14ac:dyDescent="0.45">
      <c r="A8" s="2"/>
      <c r="B8" s="212"/>
      <c r="C8" s="212"/>
      <c r="D8" s="212"/>
      <c r="E8" s="117" t="s">
        <v>40</v>
      </c>
      <c r="F8" s="117" t="s">
        <v>41</v>
      </c>
      <c r="G8" s="117" t="s">
        <v>42</v>
      </c>
      <c r="H8" s="111"/>
      <c r="I8" s="117" t="s">
        <v>123</v>
      </c>
      <c r="J8" s="117" t="s">
        <v>44</v>
      </c>
      <c r="K8" s="117" t="s">
        <v>4</v>
      </c>
      <c r="L8" s="117" t="s">
        <v>45</v>
      </c>
      <c r="M8" s="111"/>
      <c r="N8" s="117" t="s">
        <v>241</v>
      </c>
      <c r="O8" s="117" t="s">
        <v>46</v>
      </c>
      <c r="P8" s="117" t="s">
        <v>48</v>
      </c>
      <c r="Q8" s="117" t="s">
        <v>49</v>
      </c>
      <c r="R8" s="19"/>
      <c r="S8" s="19"/>
      <c r="T8" s="2"/>
      <c r="U8" s="2"/>
      <c r="V8" s="2"/>
      <c r="W8" s="2"/>
      <c r="X8" s="2"/>
      <c r="Y8" s="2"/>
      <c r="Z8" s="2"/>
    </row>
    <row r="9" spans="1:26" ht="16.2" x14ac:dyDescent="0.45">
      <c r="A9" s="2"/>
      <c r="B9" s="212"/>
      <c r="C9" s="212"/>
      <c r="D9" s="212"/>
      <c r="E9" s="137" t="s">
        <v>129</v>
      </c>
      <c r="F9" s="137" t="s">
        <v>349</v>
      </c>
      <c r="G9" s="137" t="s">
        <v>349</v>
      </c>
      <c r="H9" s="111"/>
      <c r="I9" s="137" t="s">
        <v>349</v>
      </c>
      <c r="J9" s="137" t="s">
        <v>349</v>
      </c>
      <c r="K9" s="137" t="s">
        <v>349</v>
      </c>
      <c r="L9" s="137" t="s">
        <v>349</v>
      </c>
      <c r="M9" s="111"/>
      <c r="N9" s="137" t="s">
        <v>47</v>
      </c>
      <c r="O9" s="137" t="s">
        <v>47</v>
      </c>
      <c r="P9" s="137" t="s">
        <v>47</v>
      </c>
      <c r="Q9" s="137" t="s">
        <v>47</v>
      </c>
      <c r="R9" s="19"/>
      <c r="S9" s="19"/>
      <c r="T9" s="2"/>
      <c r="U9" s="2"/>
      <c r="V9" s="2"/>
      <c r="W9" s="2"/>
      <c r="X9" s="2"/>
      <c r="Y9" s="2"/>
      <c r="Z9" s="2"/>
    </row>
    <row r="10" spans="1:26" ht="16.2" x14ac:dyDescent="0.45">
      <c r="A10" s="2"/>
      <c r="B10" s="48" t="s">
        <v>348</v>
      </c>
      <c r="C10" s="19"/>
      <c r="D10" s="19"/>
      <c r="E10" s="118">
        <v>726</v>
      </c>
      <c r="F10" s="118">
        <v>340209</v>
      </c>
      <c r="G10" s="118">
        <v>103.9</v>
      </c>
      <c r="H10" s="19"/>
      <c r="I10" s="187">
        <v>23.95</v>
      </c>
      <c r="J10" s="187">
        <v>6.8689999999999998</v>
      </c>
      <c r="K10" s="187">
        <v>4.2069999999999999</v>
      </c>
      <c r="L10" s="187">
        <v>2.7909999999999999</v>
      </c>
      <c r="M10" s="19"/>
      <c r="N10" s="54">
        <f>+G10/I10</f>
        <v>4.3382045929018789</v>
      </c>
      <c r="O10" s="54">
        <f>+G10/J10</f>
        <v>15.125928082690349</v>
      </c>
      <c r="P10" s="54">
        <f>+G10/K10</f>
        <v>24.696933681958644</v>
      </c>
      <c r="Q10" s="54">
        <f>+F10/L10</f>
        <v>121895.01970619849</v>
      </c>
      <c r="R10" s="19"/>
      <c r="S10" s="19"/>
      <c r="T10" s="2"/>
      <c r="U10" s="2"/>
      <c r="V10" s="2"/>
      <c r="W10" s="2"/>
      <c r="X10" s="2"/>
      <c r="Y10" s="2"/>
      <c r="Z10" s="2"/>
    </row>
    <row r="11" spans="1:26" ht="16.2" x14ac:dyDescent="0.45">
      <c r="A11" s="2"/>
      <c r="B11" s="118" t="s">
        <v>345</v>
      </c>
      <c r="C11" s="19"/>
      <c r="D11" s="19"/>
      <c r="E11" s="118">
        <v>568</v>
      </c>
      <c r="F11" s="118">
        <v>158066</v>
      </c>
      <c r="G11" s="118"/>
      <c r="H11" s="19"/>
      <c r="I11" s="187"/>
      <c r="J11" s="187"/>
      <c r="K11" s="187"/>
      <c r="L11" s="187"/>
      <c r="M11" s="19"/>
      <c r="N11" s="54" t="e">
        <f t="shared" ref="N11:N13" si="0">+G11/I11</f>
        <v>#DIV/0!</v>
      </c>
      <c r="O11" s="54" t="e">
        <f t="shared" ref="O11:O13" si="1">+G11/J11</f>
        <v>#DIV/0!</v>
      </c>
      <c r="P11" s="54" t="e">
        <f t="shared" ref="P11:P13" si="2">+G11/K11</f>
        <v>#DIV/0!</v>
      </c>
      <c r="Q11" s="54" t="e">
        <f t="shared" ref="Q11:Q13" si="3">+F11/L11</f>
        <v>#DIV/0!</v>
      </c>
      <c r="R11" s="19"/>
      <c r="S11" s="19"/>
      <c r="T11" s="2"/>
      <c r="U11" s="2"/>
      <c r="V11" s="2"/>
      <c r="W11" s="2"/>
      <c r="X11" s="2"/>
      <c r="Y11" s="2"/>
      <c r="Z11" s="2"/>
    </row>
    <row r="12" spans="1:26" ht="16.2" x14ac:dyDescent="0.45">
      <c r="A12" s="2"/>
      <c r="B12" s="118" t="s">
        <v>346</v>
      </c>
      <c r="C12" s="19"/>
      <c r="D12" s="19"/>
      <c r="E12" s="118">
        <v>62</v>
      </c>
      <c r="F12" s="118">
        <v>7119</v>
      </c>
      <c r="G12" s="118"/>
      <c r="H12" s="19"/>
      <c r="I12" s="187"/>
      <c r="J12" s="187"/>
      <c r="K12" s="187"/>
      <c r="L12" s="187"/>
      <c r="M12" s="19"/>
      <c r="N12" s="54" t="e">
        <f t="shared" si="0"/>
        <v>#DIV/0!</v>
      </c>
      <c r="O12" s="54" t="e">
        <f t="shared" si="1"/>
        <v>#DIV/0!</v>
      </c>
      <c r="P12" s="54" t="e">
        <f t="shared" si="2"/>
        <v>#DIV/0!</v>
      </c>
      <c r="Q12" s="54" t="e">
        <f t="shared" si="3"/>
        <v>#DIV/0!</v>
      </c>
      <c r="R12" s="19"/>
      <c r="S12" s="19"/>
      <c r="T12" s="2"/>
      <c r="U12" s="2"/>
      <c r="V12" s="2"/>
      <c r="W12" s="2"/>
      <c r="X12" s="2"/>
      <c r="Y12" s="2"/>
      <c r="Z12" s="2"/>
    </row>
    <row r="13" spans="1:26" ht="16.2" x14ac:dyDescent="0.45">
      <c r="A13" s="2"/>
      <c r="B13" s="118" t="s">
        <v>347</v>
      </c>
      <c r="C13" s="19"/>
      <c r="D13" s="19"/>
      <c r="E13" s="118"/>
      <c r="F13" s="118"/>
      <c r="G13" s="118"/>
      <c r="H13" s="19"/>
      <c r="I13" s="187"/>
      <c r="J13" s="187"/>
      <c r="K13" s="187"/>
      <c r="L13" s="188"/>
      <c r="M13" s="19"/>
      <c r="N13" s="54" t="e">
        <f t="shared" si="0"/>
        <v>#DIV/0!</v>
      </c>
      <c r="O13" s="54" t="e">
        <f t="shared" si="1"/>
        <v>#DIV/0!</v>
      </c>
      <c r="P13" s="54" t="e">
        <f t="shared" si="2"/>
        <v>#DIV/0!</v>
      </c>
      <c r="Q13" s="54" t="e">
        <f t="shared" si="3"/>
        <v>#DIV/0!</v>
      </c>
      <c r="R13" s="19"/>
      <c r="S13" s="19"/>
      <c r="T13" s="2"/>
      <c r="U13" s="2"/>
      <c r="V13" s="2"/>
      <c r="W13" s="2"/>
      <c r="X13" s="2"/>
      <c r="Y13" s="2"/>
      <c r="Z13" s="2"/>
    </row>
    <row r="14" spans="1:26" ht="16.2" x14ac:dyDescent="0.45">
      <c r="A14" s="2"/>
      <c r="B14" s="118" t="s">
        <v>350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2"/>
      <c r="U14" s="2"/>
      <c r="V14" s="2"/>
      <c r="W14" s="2"/>
      <c r="X14" s="2"/>
      <c r="Y14" s="2"/>
      <c r="Z14" s="2"/>
    </row>
    <row r="15" spans="1:26" ht="16.2" x14ac:dyDescent="0.45">
      <c r="A15" s="2"/>
      <c r="B15" s="118" t="s">
        <v>351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"/>
      <c r="U15" s="2"/>
      <c r="V15" s="2"/>
      <c r="W15" s="2"/>
      <c r="X15" s="2"/>
      <c r="Y15" s="2"/>
      <c r="Z15" s="2"/>
    </row>
    <row r="16" spans="1:26" ht="16.2" x14ac:dyDescent="0.45">
      <c r="A16" s="2"/>
      <c r="B16" s="45" t="s">
        <v>128</v>
      </c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9"/>
      <c r="S16" s="19"/>
      <c r="T16" s="2"/>
      <c r="U16" s="2"/>
      <c r="V16" s="2"/>
      <c r="W16" s="2"/>
      <c r="X16" s="2"/>
      <c r="Y16" s="2"/>
      <c r="Z16" s="2"/>
    </row>
    <row r="17" spans="1:26" ht="16.2" x14ac:dyDescent="0.45">
      <c r="A17" s="2"/>
      <c r="B17" s="45" t="s">
        <v>50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9"/>
      <c r="S17" s="19"/>
      <c r="T17" s="2"/>
      <c r="U17" s="2"/>
      <c r="V17" s="2"/>
      <c r="W17" s="2"/>
      <c r="X17" s="2"/>
      <c r="Y17" s="2"/>
      <c r="Z17" s="2"/>
    </row>
    <row r="18" spans="1:26" ht="16.2" x14ac:dyDescent="0.45">
      <c r="A18" s="2"/>
      <c r="B18" s="21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2"/>
      <c r="U18" s="2"/>
      <c r="V18" s="2"/>
      <c r="W18" s="2"/>
      <c r="X18" s="2"/>
      <c r="Y18" s="2"/>
      <c r="Z18" s="2"/>
    </row>
    <row r="19" spans="1:26" ht="16.2" x14ac:dyDescent="0.45">
      <c r="A19" s="2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2"/>
      <c r="U19" s="2"/>
      <c r="V19" s="2"/>
      <c r="W19" s="2"/>
      <c r="X19" s="2"/>
      <c r="Y19" s="2"/>
      <c r="Z19" s="2"/>
    </row>
    <row r="20" spans="1:26" ht="16.2" x14ac:dyDescent="0.45">
      <c r="A20" s="2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"/>
      <c r="U20" s="2"/>
      <c r="V20" s="2"/>
      <c r="W20" s="2"/>
      <c r="X20" s="2"/>
      <c r="Y20" s="2"/>
      <c r="Z20" s="2"/>
    </row>
    <row r="21" spans="1:26" ht="16.2" x14ac:dyDescent="0.45">
      <c r="A21" s="2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</sheetData>
  <mergeCells count="4">
    <mergeCell ref="B7:D9"/>
    <mergeCell ref="E7:G7"/>
    <mergeCell ref="I7:L7"/>
    <mergeCell ref="N7:Q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E815-3D3D-4469-9F3C-403828F8D277}">
  <sheetPr>
    <tabColor rgb="FFC9F223"/>
  </sheetPr>
  <dimension ref="A1:Z100"/>
  <sheetViews>
    <sheetView zoomScale="90" zoomScaleNormal="90" workbookViewId="0">
      <pane ySplit="5" topLeftCell="A6" activePane="bottomLeft" state="frozen"/>
      <selection activeCell="P2" sqref="P2:P4"/>
      <selection pane="bottomLeft" activeCell="H30" sqref="H30"/>
    </sheetView>
  </sheetViews>
  <sheetFormatPr defaultRowHeight="14.4" x14ac:dyDescent="0.3"/>
  <cols>
    <col min="1" max="1" width="2.5546875" customWidth="1"/>
    <col min="2" max="17" width="12.77734375" customWidth="1"/>
  </cols>
  <sheetData>
    <row r="1" spans="1:26" x14ac:dyDescent="0.3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26" ht="23.4" x14ac:dyDescent="0.4">
      <c r="B2" s="11" t="s">
        <v>69</v>
      </c>
      <c r="C2" s="12"/>
      <c r="D2" s="12"/>
      <c r="E2" s="10"/>
      <c r="F2" s="10"/>
      <c r="G2" s="10"/>
      <c r="H2" s="10"/>
      <c r="I2" s="10"/>
      <c r="J2" s="10"/>
      <c r="K2" s="13"/>
      <c r="L2" s="13"/>
      <c r="M2" s="13"/>
      <c r="N2" s="13"/>
      <c r="O2" s="13"/>
    </row>
    <row r="3" spans="1:26" x14ac:dyDescent="0.3">
      <c r="B3" s="14" t="str">
        <f ca="1">'Cover Page'!E5&amp;" | "&amp;TEXT(TODAY(),"mmmm d, yyyy")</f>
        <v>Caterpillar Inc. (CAT) | February 11, 2026</v>
      </c>
      <c r="C3" s="15"/>
      <c r="D3" s="15"/>
      <c r="E3" s="15"/>
      <c r="F3" s="17"/>
      <c r="G3" s="17"/>
      <c r="H3" s="17"/>
      <c r="I3" s="17"/>
      <c r="J3" s="17"/>
      <c r="K3" s="17"/>
      <c r="L3" s="17"/>
      <c r="M3" s="17"/>
      <c r="N3" s="17"/>
      <c r="O3" s="17"/>
    </row>
    <row r="5" spans="1:26" ht="15" thickBot="1" x14ac:dyDescent="0.3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" t="s">
        <v>82</v>
      </c>
      <c r="Q5" s="26" t="str">
        <f>+'P&amp;L'!$T$5</f>
        <v>BASE</v>
      </c>
    </row>
    <row r="6" spans="1:2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CF5F-BC04-4243-92A9-49AFEA93F081}">
  <sheetPr>
    <tabColor rgb="FFC9F223"/>
  </sheetPr>
  <dimension ref="A1:Z60"/>
  <sheetViews>
    <sheetView showGridLines="0" zoomScale="91" zoomScaleNormal="90" workbookViewId="0">
      <pane ySplit="5" topLeftCell="A13" activePane="bottomLeft" state="frozen"/>
      <selection activeCell="P2" sqref="P2:P4"/>
      <selection pane="bottomLeft" activeCell="F26" sqref="F26"/>
    </sheetView>
  </sheetViews>
  <sheetFormatPr defaultRowHeight="14.4" x14ac:dyDescent="0.3"/>
  <cols>
    <col min="1" max="1" width="2.6640625" customWidth="1"/>
    <col min="2" max="11" width="12.77734375" customWidth="1"/>
    <col min="14" max="18" width="12.77734375" customWidth="1"/>
  </cols>
  <sheetData>
    <row r="1" spans="2:18" ht="16.2" x14ac:dyDescent="0.4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2:18" ht="16.2" x14ac:dyDescent="0.45">
      <c r="B2" s="61" t="s">
        <v>9</v>
      </c>
      <c r="C2" s="62"/>
      <c r="D2" s="62"/>
      <c r="E2" s="62"/>
      <c r="F2" s="62"/>
      <c r="G2" s="32"/>
      <c r="H2" s="32"/>
      <c r="I2" s="32"/>
      <c r="J2" s="32"/>
      <c r="K2" s="36"/>
      <c r="L2" s="36"/>
      <c r="M2" s="36"/>
      <c r="N2" s="36"/>
      <c r="O2" s="36"/>
    </row>
    <row r="3" spans="2:18" ht="16.2" x14ac:dyDescent="0.45">
      <c r="B3" s="37" t="str">
        <f ca="1">'Cover Page'!E5&amp;" | "&amp;TEXT(TODAY(),"mmmm d, yyyy")</f>
        <v>Caterpillar Inc. (CAT) | February 11, 2026</v>
      </c>
      <c r="C3" s="38"/>
      <c r="D3" s="38"/>
      <c r="E3" s="38"/>
      <c r="F3" s="38"/>
      <c r="G3" s="38"/>
      <c r="H3" s="39"/>
      <c r="I3" s="39"/>
      <c r="J3" s="39"/>
      <c r="K3" s="39"/>
      <c r="L3" s="39"/>
      <c r="M3" s="39"/>
      <c r="N3" s="39"/>
      <c r="O3" s="39"/>
    </row>
    <row r="4" spans="2:18" ht="16.2" x14ac:dyDescent="0.45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2:18" ht="16.8" thickBot="1" x14ac:dyDescent="0.5">
      <c r="B5" s="40"/>
      <c r="C5" s="40"/>
      <c r="D5" s="40"/>
      <c r="E5" s="40"/>
      <c r="F5" s="146">
        <f t="shared" ref="F5:H5" si="0">+DATE(YEAR(G5)-1,MONTH(G5),DAY(G5))</f>
        <v>44561</v>
      </c>
      <c r="G5" s="146">
        <f t="shared" si="0"/>
        <v>44926</v>
      </c>
      <c r="H5" s="146">
        <f t="shared" si="0"/>
        <v>45291</v>
      </c>
      <c r="I5" s="146">
        <f>+DATE(YEAR(J5)-1,MONTH(J5),DAY(J5))</f>
        <v>45657</v>
      </c>
      <c r="J5" s="146">
        <f>+DATE(YEAR(Assumptions!D10)-1,MONTH(Assumptions!D10),DAY(Assumptions!D10))</f>
        <v>46022</v>
      </c>
      <c r="K5" s="40"/>
      <c r="L5" s="40"/>
      <c r="M5" s="40"/>
      <c r="N5" s="40"/>
      <c r="O5" s="40"/>
    </row>
    <row r="6" spans="2:18" ht="16.2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2:18" ht="16.2" x14ac:dyDescent="0.45">
      <c r="B7" s="68" t="s">
        <v>29</v>
      </c>
      <c r="C7" s="27"/>
      <c r="D7" s="27"/>
      <c r="E7" s="27"/>
      <c r="F7" s="123">
        <v>365</v>
      </c>
      <c r="G7" s="69">
        <v>365</v>
      </c>
      <c r="H7" s="69">
        <v>365</v>
      </c>
      <c r="I7" s="69">
        <v>365</v>
      </c>
      <c r="J7" s="69">
        <v>365</v>
      </c>
      <c r="K7" s="69"/>
      <c r="L7" s="27"/>
      <c r="M7" s="27"/>
      <c r="N7" s="27"/>
      <c r="O7" s="27"/>
    </row>
    <row r="8" spans="2:18" ht="16.2" x14ac:dyDescent="0.45">
      <c r="B8" s="66" t="s">
        <v>12</v>
      </c>
      <c r="C8" s="119"/>
      <c r="D8" s="119"/>
      <c r="E8" s="119"/>
      <c r="F8" s="119"/>
      <c r="G8" s="119"/>
      <c r="H8" s="119"/>
      <c r="I8" s="119"/>
      <c r="J8" s="119"/>
      <c r="K8" s="27"/>
      <c r="L8" s="27"/>
      <c r="M8" s="27"/>
      <c r="N8" s="29"/>
      <c r="O8" s="29"/>
      <c r="P8" s="5"/>
      <c r="Q8" s="5"/>
      <c r="R8" s="5"/>
    </row>
    <row r="9" spans="2:18" ht="16.2" x14ac:dyDescent="0.45">
      <c r="B9" s="27" t="s">
        <v>31</v>
      </c>
      <c r="C9" s="27"/>
      <c r="D9" s="27"/>
      <c r="E9" s="27"/>
      <c r="F9" s="147">
        <f>+'P&amp;L'!G$26/'P&amp;L'!G$24</f>
        <v>0.30327048713974614</v>
      </c>
      <c r="G9" s="147">
        <f>+'P&amp;L'!H$26/'P&amp;L'!H$24</f>
        <v>0.30418833190300704</v>
      </c>
      <c r="H9" s="147">
        <f>+'P&amp;L'!I$26/'P&amp;L'!I$24</f>
        <v>0.36225767968983003</v>
      </c>
      <c r="I9" s="147">
        <f>+'P&amp;L'!J$26/'P&amp;L'!J$24</f>
        <v>0.3797312101714268</v>
      </c>
      <c r="J9" s="147">
        <f>+'P&amp;L'!K$26/'P&amp;L'!K$24</f>
        <v>0.33788042432940274</v>
      </c>
      <c r="K9" s="27"/>
      <c r="L9" s="27"/>
      <c r="M9" s="27"/>
      <c r="N9" s="27"/>
      <c r="O9" s="27"/>
    </row>
    <row r="10" spans="2:18" ht="16.2" x14ac:dyDescent="0.45">
      <c r="B10" s="27" t="s">
        <v>16</v>
      </c>
      <c r="C10" s="27"/>
      <c r="D10" s="27"/>
      <c r="E10" s="27"/>
      <c r="F10" s="147">
        <f>+'P&amp;L'!G$45/'P&amp;L'!G$24</f>
        <v>0.18108336112691531</v>
      </c>
      <c r="G10" s="147">
        <f>+'P&amp;L'!H$45/'P&amp;L'!H$24</f>
        <v>0.17034344658152017</v>
      </c>
      <c r="H10" s="147">
        <f>+'P&amp;L'!I$45/'P&amp;L'!I$24</f>
        <v>0.22532060841037876</v>
      </c>
      <c r="I10" s="147">
        <f>+'P&amp;L'!J$45/'P&amp;L'!J$24</f>
        <v>0.23492107577651253</v>
      </c>
      <c r="J10" s="147">
        <f>+'P&amp;L'!K$45/'P&amp;L'!K$24</f>
        <v>0.1984494518338783</v>
      </c>
      <c r="K10" s="27"/>
      <c r="L10" s="27"/>
      <c r="M10" s="27"/>
      <c r="N10" s="27"/>
      <c r="O10" s="27"/>
    </row>
    <row r="11" spans="2:18" ht="16.2" x14ac:dyDescent="0.45">
      <c r="B11" s="27" t="s">
        <v>17</v>
      </c>
      <c r="C11" s="27"/>
      <c r="D11" s="27"/>
      <c r="E11" s="27"/>
      <c r="F11" s="27"/>
      <c r="G11" s="147">
        <f>+'P&amp;L'!H38/AVERAGE('Balance Sheet '!G28:H28)</f>
        <v>8.1160159285159281E-2</v>
      </c>
      <c r="H11" s="147">
        <f>+'P&amp;L'!I38/AVERAGE('Balance Sheet '!H28:I28)</f>
        <v>0.12122607263648115</v>
      </c>
      <c r="I11" s="147">
        <f>+'P&amp;L'!J38/AVERAGE('Balance Sheet '!I28:J28)</f>
        <v>0.12262040629993153</v>
      </c>
      <c r="J11" s="147">
        <f>+'P&amp;L'!K38/AVERAGE('Balance Sheet '!J28:K28)</f>
        <v>9.4156663035487184E-2</v>
      </c>
      <c r="K11" s="27"/>
      <c r="L11" s="27"/>
      <c r="M11" s="27"/>
      <c r="N11" s="27"/>
      <c r="O11" s="27"/>
    </row>
    <row r="12" spans="2:18" ht="16.2" x14ac:dyDescent="0.45">
      <c r="B12" s="27" t="s">
        <v>24</v>
      </c>
      <c r="C12" s="27"/>
      <c r="D12" s="27"/>
      <c r="E12" s="27"/>
      <c r="F12" s="27"/>
      <c r="G12" s="147">
        <f>+'P&amp;L'!H38/AVERAGE('Balance Sheet '!G33:H33)</f>
        <v>0.41256518653377355</v>
      </c>
      <c r="H12" s="147">
        <f>+'P&amp;L'!I38/AVERAGE('Balance Sheet '!H33:I33)</f>
        <v>0.58026784200711989</v>
      </c>
      <c r="I12" s="147">
        <f>+'P&amp;L'!J38/AVERAGE('Balance Sheet '!I33:J33)</f>
        <v>0.55101674487781116</v>
      </c>
      <c r="J12" s="147">
        <f>+'P&amp;L'!K38/AVERAGE('Balance Sheet '!J33:K33)</f>
        <v>0.42992257179261001</v>
      </c>
      <c r="K12" s="27"/>
      <c r="L12" s="27"/>
      <c r="M12" s="27"/>
      <c r="N12" s="27"/>
      <c r="O12" s="27"/>
    </row>
    <row r="13" spans="2:18" ht="16.2" x14ac:dyDescent="0.45">
      <c r="B13" s="27" t="s">
        <v>25</v>
      </c>
      <c r="C13" s="27"/>
      <c r="D13" s="27"/>
      <c r="E13" s="27"/>
      <c r="F13" s="147">
        <f>+'P&amp;L'!G38/('Balance Sheet '!G33+'Balance Sheet '!G34)</f>
        <v>0.11899456771936286</v>
      </c>
      <c r="G13" s="147">
        <f>+'P&amp;L'!H38/('Balance Sheet '!H33+'Balance Sheet '!H34)</f>
        <v>0.12640874366538082</v>
      </c>
      <c r="H13" s="147">
        <f>+'P&amp;L'!I38/('Balance Sheet '!I33+'Balance Sheet '!I34)</f>
        <v>0.17896167721022638</v>
      </c>
      <c r="I13" s="147">
        <f>+'P&amp;L'!J38/('Balance Sheet '!J33+'Balance Sheet '!J34)</f>
        <v>0.18555169853030068</v>
      </c>
      <c r="J13" s="147">
        <f>+'P&amp;L'!K38/('Balance Sheet '!K33+'Balance Sheet '!K34)</f>
        <v>0.13570412077713154</v>
      </c>
      <c r="K13" s="27"/>
      <c r="L13" s="27"/>
      <c r="M13" s="27"/>
      <c r="N13" s="27"/>
      <c r="O13" s="27"/>
    </row>
    <row r="14" spans="2:18" ht="16.2" x14ac:dyDescent="0.45"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</row>
    <row r="15" spans="2:18" ht="16.2" x14ac:dyDescent="0.45">
      <c r="B15" s="119" t="s">
        <v>150</v>
      </c>
      <c r="C15" s="119"/>
      <c r="D15" s="119"/>
      <c r="E15" s="119"/>
      <c r="F15" s="119"/>
      <c r="G15" s="119"/>
      <c r="H15" s="119"/>
      <c r="I15" s="119"/>
      <c r="J15" s="119"/>
      <c r="K15" s="27"/>
      <c r="L15" s="27"/>
      <c r="M15" s="27"/>
      <c r="N15" s="27"/>
      <c r="O15" s="27"/>
    </row>
    <row r="16" spans="2:18" ht="16.2" x14ac:dyDescent="0.45">
      <c r="B16" s="27" t="s">
        <v>18</v>
      </c>
      <c r="C16" s="27"/>
      <c r="D16" s="27"/>
      <c r="E16" s="27"/>
      <c r="F16" s="77">
        <f>+SUM('Balance Sheet '!G26:G27)/SUM('Balance Sheet '!G36:G37)</f>
        <v>0.66563484605604994</v>
      </c>
      <c r="G16" s="77">
        <f>+SUM('Balance Sheet '!H26:H27)/SUM('Balance Sheet '!H36:H37)</f>
        <v>0.4762986371716374</v>
      </c>
      <c r="H16" s="77">
        <f>+SUM('Balance Sheet '!I26:I27)/SUM('Balance Sheet '!I36:I37)</f>
        <v>0.54235062376887722</v>
      </c>
      <c r="I16" s="77">
        <f>+SUM('Balance Sheet '!J26:J27)/SUM('Balance Sheet '!J36:J37)</f>
        <v>0.47176392948053175</v>
      </c>
      <c r="J16" s="77">
        <f>+SUM('Balance Sheet '!K26:K27)/SUM('Balance Sheet '!K36:K37)</f>
        <v>0.53423340578498579</v>
      </c>
      <c r="K16" s="27"/>
      <c r="L16" s="27"/>
      <c r="M16" s="27"/>
      <c r="N16" s="27"/>
      <c r="O16" s="27"/>
    </row>
    <row r="17" spans="1:26" ht="16.2" x14ac:dyDescent="0.45">
      <c r="B17" s="27" t="s">
        <v>19</v>
      </c>
      <c r="C17" s="27"/>
      <c r="D17" s="27"/>
      <c r="E17" s="27"/>
      <c r="F17" s="77">
        <f>+'Balance Sheet '!G26/SUM('Balance Sheet '!G36:G37)</f>
        <v>0.51152506771322759</v>
      </c>
      <c r="G17" s="77">
        <f>+'Balance Sheet '!H26/SUM('Balance Sheet '!H36:H37)</f>
        <v>0.34584238593719141</v>
      </c>
      <c r="H17" s="77">
        <f>+'Balance Sheet '!I26/SUM('Balance Sheet '!I36:I37)</f>
        <v>0.32726761091830037</v>
      </c>
      <c r="I17" s="77">
        <f>+'Balance Sheet '!J26/SUM('Balance Sheet '!J36:J37)</f>
        <v>0.32473838031488639</v>
      </c>
      <c r="J17" s="77">
        <f>+'Balance Sheet '!K26/SUM('Balance Sheet '!K36:K37)</f>
        <v>0.41715432201972913</v>
      </c>
      <c r="K17" s="27"/>
      <c r="L17" s="27"/>
      <c r="M17" s="27"/>
      <c r="N17" s="27"/>
      <c r="O17" s="27"/>
    </row>
    <row r="18" spans="1:26" ht="16.2" x14ac:dyDescent="0.45">
      <c r="B18" s="27" t="s">
        <v>32</v>
      </c>
      <c r="C18" s="27"/>
      <c r="D18" s="27"/>
      <c r="E18" s="27"/>
      <c r="F18" s="27"/>
      <c r="G18" s="27"/>
      <c r="H18" s="148" t="e">
        <f>'P&amp;L'!#REF!/'P&amp;L'!#REF!</f>
        <v>#REF!</v>
      </c>
      <c r="I18" s="148" t="e">
        <f>'P&amp;L'!#REF!/'P&amp;L'!#REF!</f>
        <v>#REF!</v>
      </c>
      <c r="J18" s="148" t="e">
        <f>'P&amp;L'!#REF!/'P&amp;L'!#REF!</f>
        <v>#REF!</v>
      </c>
      <c r="K18" s="27"/>
      <c r="L18" s="27"/>
      <c r="M18" s="27"/>
      <c r="N18" s="27"/>
      <c r="O18" s="27"/>
    </row>
    <row r="19" spans="1:26" ht="16.2" x14ac:dyDescent="0.45">
      <c r="B19" s="27" t="s">
        <v>34</v>
      </c>
      <c r="C19" s="27"/>
      <c r="D19" s="27"/>
      <c r="E19" s="27"/>
      <c r="F19" s="27"/>
      <c r="G19" s="77">
        <f>+'Cash Flow'!H$26/'P&amp;L'!H$38</f>
        <v>1.618399401645475</v>
      </c>
      <c r="H19" s="77">
        <f>+'Cash Flow'!I$26/'P&amp;L'!I$38</f>
        <v>1.040218132242672</v>
      </c>
      <c r="I19" s="77">
        <f>+'Cash Flow'!J$26/'P&amp;L'!J$38</f>
        <v>1.0059568131049887</v>
      </c>
      <c r="J19" s="77">
        <f>+'Cash Flow'!K$26/'P&amp;L'!K$38</f>
        <v>1.1667616550780804</v>
      </c>
      <c r="K19" s="27"/>
      <c r="L19" s="27"/>
      <c r="M19" s="27"/>
      <c r="N19" s="27"/>
      <c r="O19" s="27"/>
    </row>
    <row r="20" spans="1:26" ht="16.2" x14ac:dyDescent="0.45">
      <c r="B20" s="27"/>
      <c r="C20" s="27"/>
      <c r="D20" s="27"/>
      <c r="E20" s="27"/>
      <c r="F20" s="27"/>
      <c r="G20" s="77"/>
      <c r="H20" s="77"/>
      <c r="I20" s="77"/>
      <c r="J20" s="77"/>
      <c r="K20" s="27"/>
      <c r="L20" s="27"/>
      <c r="M20" s="27"/>
      <c r="N20" s="27"/>
      <c r="O20" s="27"/>
    </row>
    <row r="21" spans="1:26" ht="16.2" x14ac:dyDescent="0.45">
      <c r="B21" s="66" t="s">
        <v>13</v>
      </c>
      <c r="C21" s="119"/>
      <c r="D21" s="119"/>
      <c r="E21" s="119"/>
      <c r="F21" s="119"/>
      <c r="G21" s="119"/>
      <c r="H21" s="119"/>
      <c r="I21" s="119"/>
      <c r="J21" s="119"/>
      <c r="K21" s="27"/>
      <c r="L21" s="27"/>
      <c r="M21" s="27"/>
      <c r="N21" s="27"/>
      <c r="O21" s="27"/>
    </row>
    <row r="22" spans="1:26" ht="16.2" x14ac:dyDescent="0.45">
      <c r="B22" s="27" t="s">
        <v>30</v>
      </c>
      <c r="C22" s="27"/>
      <c r="D22" s="27"/>
      <c r="E22" s="27"/>
      <c r="F22" s="77">
        <f>+'Balance Sheet '!G38/'Balance Sheet '!G28</f>
        <v>0.8005145362530649</v>
      </c>
      <c r="G22" s="77">
        <f>+'Balance Sheet '!H38/'Balance Sheet '!H28</f>
        <v>0.80607251382058265</v>
      </c>
      <c r="H22" s="77">
        <f>+'Balance Sheet '!I38/'Balance Sheet '!I28</f>
        <v>0.77704741872056338</v>
      </c>
      <c r="I22" s="77">
        <f>+'Balance Sheet '!J38/'Balance Sheet '!J28</f>
        <v>0.77788159154095071</v>
      </c>
      <c r="J22" s="77">
        <f>+'Balance Sheet '!K38/'Balance Sheet '!K28</f>
        <v>0.78376020692803161</v>
      </c>
      <c r="K22" s="27"/>
      <c r="L22" s="27"/>
      <c r="M22" s="27"/>
      <c r="N22" s="27"/>
      <c r="O22" s="27"/>
    </row>
    <row r="23" spans="1:26" ht="16.2" x14ac:dyDescent="0.45">
      <c r="B23" s="27" t="s">
        <v>268</v>
      </c>
      <c r="C23" s="27"/>
      <c r="D23" s="27"/>
      <c r="E23" s="27"/>
      <c r="F23" s="77">
        <f>+('Balance Sheet '!G34-'Balance Sheet '!G26)/'Balance Sheet '!G33</f>
        <v>1.7277185759263745</v>
      </c>
      <c r="G23" s="77">
        <f>+('Balance Sheet '!H34-'Balance Sheet '!H26)/'Balance Sheet '!H33</f>
        <v>1.887168837706878</v>
      </c>
      <c r="H23" s="77">
        <f>+('Balance Sheet '!I34-'Balance Sheet '!I26)/'Balance Sheet '!I33</f>
        <v>1.5843716351330563</v>
      </c>
      <c r="I23" s="77">
        <f>+('Balance Sheet '!J34-'Balance Sheet '!J26)/'Balance Sheet '!J33</f>
        <v>1.616907766492254</v>
      </c>
      <c r="J23" s="77">
        <f>+('Balance Sheet '!K34-'Balance Sheet '!K26)/'Balance Sheet '!K33</f>
        <v>1.5644056665728492</v>
      </c>
      <c r="K23" s="27"/>
      <c r="L23" s="27"/>
      <c r="M23" s="27"/>
      <c r="N23" s="27"/>
      <c r="O23" s="27"/>
    </row>
    <row r="24" spans="1:26" ht="16.2" x14ac:dyDescent="0.45">
      <c r="B24" s="27" t="s">
        <v>267</v>
      </c>
      <c r="C24" s="27"/>
      <c r="D24" s="27"/>
      <c r="E24" s="27"/>
      <c r="F24" s="77">
        <f>+'P&amp;L'!G45/'P&amp;L'!G35*-1</f>
        <v>18.91393442622951</v>
      </c>
      <c r="G24" s="77">
        <f>+'P&amp;L'!H45/'P&amp;L'!H35*-1</f>
        <v>22.851015801354404</v>
      </c>
      <c r="H24" s="77">
        <f>+'P&amp;L'!I45/'P&amp;L'!I35*-1</f>
        <v>29.569471624266146</v>
      </c>
      <c r="I24" s="77">
        <f>+'P&amp;L'!J45/'P&amp;L'!J35*-1</f>
        <v>29.736328125</v>
      </c>
      <c r="J24" s="77">
        <f>+'P&amp;L'!K45/'P&amp;L'!K35*-1</f>
        <v>26.719123505976096</v>
      </c>
      <c r="K24" s="27"/>
      <c r="L24" s="27"/>
      <c r="M24" s="27"/>
      <c r="N24" s="27"/>
      <c r="O24" s="27"/>
    </row>
    <row r="25" spans="1:26" ht="16.2" x14ac:dyDescent="0.45">
      <c r="B25" s="27" t="s">
        <v>266</v>
      </c>
      <c r="C25" s="27"/>
      <c r="D25" s="27"/>
      <c r="E25" s="27"/>
      <c r="F25" s="77">
        <f>+('Balance Sheet '!G34-'Balance Sheet '!G26)/'P&amp;L'!G45</f>
        <v>3.091549295774648</v>
      </c>
      <c r="G25" s="77">
        <f>+('Balance Sheet '!H34-'Balance Sheet '!H26)/'P&amp;L'!H45</f>
        <v>2.9624617208337449</v>
      </c>
      <c r="H25" s="77">
        <f>+('Balance Sheet '!I34-'Balance Sheet '!I26)/'P&amp;L'!I45</f>
        <v>2.0450033090668431</v>
      </c>
      <c r="I25" s="77">
        <f>+('Balance Sheet '!J34-'Balance Sheet '!J26)/'P&amp;L'!J45</f>
        <v>2.0702791461412149</v>
      </c>
      <c r="J25" s="77">
        <f>+('Balance Sheet '!K34-'Balance Sheet '!K26)/'P&amp;L'!K45</f>
        <v>2.4863937970625511</v>
      </c>
      <c r="K25" s="27"/>
      <c r="L25" s="27"/>
      <c r="M25" s="27"/>
      <c r="N25" s="27"/>
      <c r="O25" s="27"/>
    </row>
    <row r="26" spans="1:26" ht="16.2" x14ac:dyDescent="0.45">
      <c r="B26" s="27" t="s">
        <v>265</v>
      </c>
      <c r="C26" s="27"/>
      <c r="D26" s="27"/>
      <c r="E26" s="27"/>
      <c r="F26" s="77">
        <f>+'Balance Sheet '!G34/(SUM('Balance Sheet '!G33:G34))</f>
        <v>0.6958659423625817</v>
      </c>
      <c r="G26" s="77">
        <f>+'Balance Sheet '!H34/(SUM('Balance Sheet '!H33:H34))</f>
        <v>0.6995121397776265</v>
      </c>
      <c r="H26" s="77">
        <f>+'Balance Sheet '!I34/(SUM('Balance Sheet '!I33:I34))</f>
        <v>0.66011397500914937</v>
      </c>
      <c r="I26" s="77">
        <f>+'Balance Sheet '!J34/(SUM('Balance Sheet '!J33:J34))</f>
        <v>0.66333350603595664</v>
      </c>
      <c r="J26" s="77">
        <f>+'Balance Sheet '!K34/(SUM('Balance Sheet '!K33:K34))</f>
        <v>0.67024501918079449</v>
      </c>
      <c r="K26" s="27"/>
      <c r="L26" s="27"/>
      <c r="M26" s="27"/>
      <c r="N26" s="27"/>
      <c r="O26" s="27"/>
    </row>
    <row r="27" spans="1:26" ht="16.2" x14ac:dyDescent="0.45">
      <c r="A27" s="2"/>
      <c r="B27" s="27" t="s">
        <v>33</v>
      </c>
      <c r="C27" s="27"/>
      <c r="D27" s="27"/>
      <c r="E27" s="27"/>
      <c r="F27" s="27"/>
      <c r="G27" s="77">
        <f>+AVERAGE('Balance Sheet '!G28:H28)/AVERAGE('Balance Sheet '!G33:H33)</f>
        <v>5.0833461906378252</v>
      </c>
      <c r="H27" s="77">
        <f>+AVERAGE('Balance Sheet '!H28:I28)/AVERAGE('Balance Sheet '!H33:I33)</f>
        <v>4.7866587557213087</v>
      </c>
      <c r="I27" s="77">
        <f>+AVERAGE('Balance Sheet '!I28:J28)/AVERAGE('Balance Sheet '!I33:J33)</f>
        <v>4.4936790009487906</v>
      </c>
      <c r="J27" s="77">
        <f>+AVERAGE('Balance Sheet '!J28:K28)/AVERAGE('Balance Sheet '!J33:K33)</f>
        <v>4.566034499656964</v>
      </c>
      <c r="K27" s="27"/>
      <c r="L27" s="27"/>
      <c r="M27" s="27"/>
      <c r="N27" s="27"/>
      <c r="O27" s="27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2" x14ac:dyDescent="0.45">
      <c r="A28" s="2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2" x14ac:dyDescent="0.45">
      <c r="A29" s="2"/>
      <c r="B29" s="66" t="s">
        <v>14</v>
      </c>
      <c r="C29" s="119"/>
      <c r="D29" s="119"/>
      <c r="E29" s="119"/>
      <c r="F29" s="119"/>
      <c r="G29" s="119"/>
      <c r="H29" s="119"/>
      <c r="I29" s="119"/>
      <c r="J29" s="119"/>
      <c r="K29" s="27"/>
      <c r="L29" s="27"/>
      <c r="M29" s="27"/>
      <c r="N29" s="27"/>
      <c r="O29" s="27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2" x14ac:dyDescent="0.45">
      <c r="A30" s="2"/>
      <c r="B30" s="27" t="s">
        <v>26</v>
      </c>
      <c r="C30" s="27"/>
      <c r="D30" s="27"/>
      <c r="E30" s="27"/>
      <c r="F30" s="148">
        <f>+('P&amp;L'!G25+'P&amp;L'!G28)/'P&amp;L'!G24*-1</f>
        <v>0.86506052461203431</v>
      </c>
      <c r="G30" s="148">
        <f>+('P&amp;L'!H25+'P&amp;L'!H28)/'P&amp;L'!H24*-1</f>
        <v>0.86699648308008148</v>
      </c>
      <c r="H30" s="148">
        <f>+('P&amp;L'!I25+'P&amp;L'!I28)/'P&amp;L'!I24*-1</f>
        <v>0.80665076051297346</v>
      </c>
      <c r="I30" s="148">
        <f>+('P&amp;L'!J25+'P&amp;L'!J28)/'P&amp;L'!J24*-1</f>
        <v>0.79829961888009382</v>
      </c>
      <c r="J30" s="148">
        <f>+('P&amp;L'!K25+'P&amp;L'!K28)/'P&amp;L'!K24*-1</f>
        <v>0.83501753243871046</v>
      </c>
      <c r="K30" s="27"/>
      <c r="L30" s="27"/>
      <c r="M30" s="27"/>
      <c r="N30" s="27"/>
      <c r="O30" s="27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2" x14ac:dyDescent="0.45">
      <c r="A31" s="2"/>
      <c r="B31" s="27" t="s">
        <v>20</v>
      </c>
      <c r="C31" s="27"/>
      <c r="D31" s="27"/>
      <c r="E31" s="27"/>
      <c r="F31" s="27"/>
      <c r="G31" s="148">
        <f>+'P&amp;L'!H24/AVERAGE('Balance Sheet '!G28:H28)</f>
        <v>0.72148164335664333</v>
      </c>
      <c r="H31" s="148">
        <f>+'P&amp;L'!I24/AVERAGE('Balance Sheet '!H28:I28)</f>
        <v>0.7916467456424604</v>
      </c>
      <c r="I31" s="148">
        <f>+'P&amp;L'!J24/AVERAGE('Balance Sheet '!I28:J28)</f>
        <v>0.73965989500114127</v>
      </c>
      <c r="J31" s="148">
        <f>+'P&amp;L'!K24/AVERAGE('Balance Sheet '!J28:K28)</f>
        <v>0.7254023364761818</v>
      </c>
      <c r="K31" s="27"/>
      <c r="L31" s="27"/>
      <c r="M31" s="27"/>
      <c r="N31" s="27"/>
      <c r="O31" s="27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2" x14ac:dyDescent="0.45">
      <c r="A32" s="2"/>
      <c r="B32" s="27" t="s">
        <v>228</v>
      </c>
      <c r="C32" s="27"/>
      <c r="D32" s="27"/>
      <c r="E32" s="27"/>
      <c r="F32" s="27"/>
      <c r="G32" s="199">
        <f>+'P&amp;L'!H24/AVERAGE('Balance Sheet '!G25:H25)</f>
        <v>3.3723186925434114</v>
      </c>
      <c r="H32" s="199">
        <f>+'P&amp;L'!I24/AVERAGE('Balance Sheet '!H25:I25)</f>
        <v>3.655591594210799</v>
      </c>
      <c r="I32" s="199">
        <f>+'P&amp;L'!J24/AVERAGE('Balance Sheet '!I25:J25)</f>
        <v>3.441155388005416</v>
      </c>
      <c r="J32" s="199">
        <f>+'P&amp;L'!K24/AVERAGE('Balance Sheet '!J25:K25)</f>
        <v>3.3446654790182104</v>
      </c>
      <c r="K32" s="27"/>
      <c r="L32" s="27"/>
      <c r="M32" s="27"/>
      <c r="N32" s="27"/>
      <c r="O32" s="27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2" x14ac:dyDescent="0.45">
      <c r="A33" s="2"/>
      <c r="B33" s="162" t="s">
        <v>225</v>
      </c>
      <c r="C33" s="162"/>
      <c r="D33" s="162"/>
      <c r="E33" s="162"/>
      <c r="F33" s="162"/>
      <c r="G33" s="175">
        <f>+AVERAGE('Balance Sheet '!G25:H25)/'P&amp;L'!H24*'P&amp;L'!H8</f>
        <v>108.23413599878843</v>
      </c>
      <c r="H33" s="175">
        <f>+AVERAGE('Balance Sheet '!H25:I25)/'P&amp;L'!I24*'P&amp;L'!I8</f>
        <v>99.847039964211163</v>
      </c>
      <c r="I33" s="175">
        <f>+AVERAGE('Balance Sheet '!I25:J25)/'P&amp;L'!J24*'P&amp;L'!J8</f>
        <v>106.06902590689565</v>
      </c>
      <c r="J33" s="175">
        <f>+AVERAGE('Balance Sheet '!J25:K25)/'P&amp;L'!K24*'P&amp;L'!K8</f>
        <v>109.12900028111082</v>
      </c>
      <c r="K33" s="27"/>
      <c r="L33" s="27"/>
      <c r="M33" s="27"/>
      <c r="N33" s="27"/>
      <c r="O33" s="27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2" x14ac:dyDescent="0.45">
      <c r="A34" s="2"/>
      <c r="B34" s="27" t="s">
        <v>21</v>
      </c>
      <c r="C34" s="27"/>
      <c r="D34" s="27"/>
      <c r="E34" s="27"/>
      <c r="F34" s="27"/>
      <c r="G34" s="77">
        <f>+'P&amp;L'!H25/AVERAGE('Balance Sheet '!G24:H24)*-1</f>
        <v>2.7286525009898375</v>
      </c>
      <c r="H34" s="77">
        <f>+'P&amp;L'!I25/AVERAGE('Balance Sheet '!H24:I24)*-1</f>
        <v>2.6049642150144661</v>
      </c>
      <c r="I34" s="77">
        <f>+'P&amp;L'!J25/AVERAGE('Balance Sheet '!I24:J24)*-1</f>
        <v>2.4077024436990895</v>
      </c>
      <c r="J34" s="77">
        <f>+'P&amp;L'!K25/AVERAGE('Balance Sheet '!J24:K24)*-1</f>
        <v>2.5600366111778503</v>
      </c>
      <c r="K34" s="27"/>
      <c r="L34" s="27"/>
      <c r="M34" s="27"/>
      <c r="N34" s="27"/>
      <c r="O34" s="27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2" x14ac:dyDescent="0.45">
      <c r="A35" s="2"/>
      <c r="B35" s="162" t="s">
        <v>28</v>
      </c>
      <c r="C35" s="162"/>
      <c r="D35" s="162"/>
      <c r="E35" s="162"/>
      <c r="F35" s="162"/>
      <c r="G35" s="175">
        <f>+AVERAGE('Balance Sheet '!G24:H24)/'P&amp;L'!H25*'P&amp;L'!H8*-1</f>
        <v>133.76565900846433</v>
      </c>
      <c r="H35" s="175">
        <f>+AVERAGE('Balance Sheet '!H24:I24)/'P&amp;L'!I25*'P&amp;L'!I8*-1</f>
        <v>140.11708794163724</v>
      </c>
      <c r="I35" s="175">
        <f>+AVERAGE('Balance Sheet '!I24:J24)/'P&amp;L'!J25*'P&amp;L'!J8*-1</f>
        <v>151.59680589069379</v>
      </c>
      <c r="J35" s="175">
        <f>+AVERAGE('Balance Sheet '!J24:K24)/'P&amp;L'!K25*'P&amp;L'!K8*-1</f>
        <v>142.57608598498391</v>
      </c>
      <c r="K35" s="27"/>
      <c r="L35" s="27"/>
      <c r="M35" s="27"/>
      <c r="N35" s="27"/>
      <c r="O35" s="27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2" x14ac:dyDescent="0.45">
      <c r="A36" s="2"/>
      <c r="B36" s="27" t="s">
        <v>226</v>
      </c>
      <c r="C36" s="27"/>
      <c r="D36" s="27"/>
      <c r="E36" s="27"/>
      <c r="F36" s="27"/>
      <c r="G36" s="199">
        <f>+'P&amp;L'!H25/AVERAGE('Balance Sheet '!G36:H36)*-1</f>
        <v>4.9100516535059073</v>
      </c>
      <c r="H36" s="199">
        <f>+'P&amp;L'!I25/AVERAGE('Balance Sheet '!H36:I36)*-1</f>
        <v>5.1542030732148234</v>
      </c>
      <c r="I36" s="199">
        <f>+'P&amp;L'!J25/AVERAGE('Balance Sheet '!I36:J36)*-1</f>
        <v>5.1600025672293182</v>
      </c>
      <c r="J36" s="199">
        <f>+'P&amp;L'!K25/AVERAGE('Balance Sheet '!J36:K36)*-1</f>
        <v>5.3778765847503456</v>
      </c>
      <c r="K36" s="27"/>
      <c r="L36" s="27"/>
      <c r="M36" s="27"/>
      <c r="N36" s="27"/>
      <c r="O36" s="27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2" x14ac:dyDescent="0.45">
      <c r="A37" s="2"/>
      <c r="B37" s="162" t="s">
        <v>227</v>
      </c>
      <c r="C37" s="162"/>
      <c r="D37" s="162"/>
      <c r="E37" s="162"/>
      <c r="F37" s="162"/>
      <c r="G37" s="175">
        <f>+AVERAGE('Balance Sheet '!G36:H36)/'P&amp;L'!H25*'P&amp;L'!H8*-1</f>
        <v>74.337303506650542</v>
      </c>
      <c r="H37" s="175">
        <f>+AVERAGE('Balance Sheet '!H36:I36)/'P&amp;L'!I25*'P&amp;L'!I8*-1</f>
        <v>70.815991301704585</v>
      </c>
      <c r="I37" s="175">
        <f>+AVERAGE('Balance Sheet '!I36:J36)/'P&amp;L'!J25*'P&amp;L'!J8*-1</f>
        <v>70.73639891539591</v>
      </c>
      <c r="J37" s="175">
        <f>+AVERAGE('Balance Sheet '!J36:K36)/'P&amp;L'!K25*'P&amp;L'!K8*-1</f>
        <v>67.870653825527356</v>
      </c>
      <c r="K37" s="27"/>
      <c r="L37" s="27"/>
      <c r="M37" s="27"/>
      <c r="N37" s="27"/>
      <c r="O37" s="27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2" x14ac:dyDescent="0.45">
      <c r="A38" s="2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2" x14ac:dyDescent="0.45">
      <c r="A39" s="2"/>
      <c r="B39" s="66" t="s">
        <v>15</v>
      </c>
      <c r="C39" s="119"/>
      <c r="D39" s="119"/>
      <c r="E39" s="119"/>
      <c r="F39" s="119"/>
      <c r="G39" s="119"/>
      <c r="H39" s="119"/>
      <c r="I39" s="119"/>
      <c r="J39" s="119"/>
      <c r="K39" s="27"/>
      <c r="L39" s="27"/>
      <c r="M39" s="27"/>
      <c r="N39" s="27"/>
      <c r="O39" s="27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2" x14ac:dyDescent="0.45">
      <c r="A40" s="2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2" x14ac:dyDescent="0.45">
      <c r="A41" s="2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2" x14ac:dyDescent="0.45">
      <c r="A42" s="2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2" x14ac:dyDescent="0.45">
      <c r="A43" s="2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2" x14ac:dyDescent="0.45">
      <c r="A44" s="2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2" x14ac:dyDescent="0.45">
      <c r="A45" s="2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2" x14ac:dyDescent="0.45">
      <c r="A46" s="2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2" x14ac:dyDescent="0.45">
      <c r="A47" s="2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2" x14ac:dyDescent="0.45">
      <c r="A48" s="2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2" x14ac:dyDescent="0.45">
      <c r="A49" s="2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2" x14ac:dyDescent="0.45">
      <c r="A50" s="2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2" x14ac:dyDescent="0.45">
      <c r="A51" s="2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2" x14ac:dyDescent="0.45">
      <c r="A52" s="2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B665E-CD46-4654-8B78-8D2E9B2CA89D}">
  <sheetPr>
    <tabColor rgb="FFC9F223"/>
  </sheetPr>
  <dimension ref="B1:Q73"/>
  <sheetViews>
    <sheetView showGridLines="0" zoomScaleNormal="100" workbookViewId="0">
      <pane ySplit="5" topLeftCell="A11" activePane="bottomLeft" state="frozen"/>
      <selection activeCell="P2" sqref="P2:P4"/>
      <selection pane="bottomLeft" activeCell="O69" sqref="O69"/>
    </sheetView>
  </sheetViews>
  <sheetFormatPr defaultRowHeight="14.4" x14ac:dyDescent="0.3"/>
  <cols>
    <col min="1" max="1" width="2.33203125" customWidth="1"/>
    <col min="2" max="4" width="12.77734375" customWidth="1"/>
    <col min="7" max="10" width="13.77734375" customWidth="1"/>
    <col min="11" max="17" width="12.77734375" customWidth="1"/>
  </cols>
  <sheetData>
    <row r="1" spans="2:17" ht="16.2" x14ac:dyDescent="0.4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2" spans="2:17" ht="16.2" x14ac:dyDescent="0.45">
      <c r="B2" s="61" t="s">
        <v>22</v>
      </c>
      <c r="C2" s="62"/>
      <c r="D2" s="62"/>
      <c r="E2" s="32"/>
      <c r="F2" s="32"/>
      <c r="G2" s="32"/>
      <c r="H2" s="32"/>
      <c r="I2" s="32"/>
      <c r="J2" s="32"/>
      <c r="K2" s="36"/>
      <c r="L2" s="36"/>
      <c r="M2" s="36"/>
      <c r="N2" s="36"/>
      <c r="O2" s="36"/>
      <c r="P2" s="36"/>
      <c r="Q2" s="36"/>
    </row>
    <row r="3" spans="2:17" ht="16.2" x14ac:dyDescent="0.45">
      <c r="B3" s="37" t="str">
        <f ca="1">'Cover Page'!E5&amp;" | "&amp;TEXT(TODAY(),"mmmm d, yyyy")</f>
        <v>Caterpillar Inc. (CAT) | February 11, 2026</v>
      </c>
      <c r="C3" s="38"/>
      <c r="D3" s="38"/>
      <c r="E3" s="38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2:17" ht="16.2" x14ac:dyDescent="0.45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</row>
    <row r="5" spans="2:17" ht="16.8" thickBot="1" x14ac:dyDescent="0.5"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</row>
    <row r="6" spans="2:17" ht="16.2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</row>
    <row r="7" spans="2:17" ht="16.2" x14ac:dyDescent="0.45">
      <c r="B7" s="62" t="s">
        <v>92</v>
      </c>
      <c r="C7" s="39"/>
      <c r="D7" s="39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</row>
    <row r="8" spans="2:17" ht="16.2" x14ac:dyDescent="0.45"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</row>
    <row r="9" spans="2:17" ht="16.2" x14ac:dyDescent="0.45">
      <c r="B9" s="27" t="s">
        <v>111</v>
      </c>
      <c r="C9" s="27"/>
      <c r="D9" s="120">
        <f ca="1">TODAY()</f>
        <v>46064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16.2" x14ac:dyDescent="0.45">
      <c r="B10" s="27" t="s">
        <v>140</v>
      </c>
      <c r="C10" s="27"/>
      <c r="D10" s="121">
        <v>46387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spans="2:17" ht="16.2" x14ac:dyDescent="0.45">
      <c r="B11" s="27" t="s">
        <v>141</v>
      </c>
      <c r="C11" s="27"/>
      <c r="D11" s="144" t="s">
        <v>149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2:17" ht="16.2" x14ac:dyDescent="0.45"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</row>
    <row r="13" spans="2:17" ht="16.2" x14ac:dyDescent="0.45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spans="2:17" ht="16.2" x14ac:dyDescent="0.45"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</row>
    <row r="15" spans="2:17" ht="16.2" x14ac:dyDescent="0.45">
      <c r="B15" s="62" t="s">
        <v>130</v>
      </c>
      <c r="C15" s="39"/>
      <c r="D15" s="39"/>
      <c r="E15" s="39"/>
      <c r="F15" s="39"/>
      <c r="G15" s="139">
        <f>+DATE(YEAR(D10),MONTH(D10),DAY(D10))</f>
        <v>46387</v>
      </c>
      <c r="H15" s="139">
        <f t="shared" ref="H15:K15" si="0">+DATE(YEAR(G15)+1,MONTH(G15),DAY(G15))</f>
        <v>46752</v>
      </c>
      <c r="I15" s="139">
        <f t="shared" si="0"/>
        <v>47118</v>
      </c>
      <c r="J15" s="139">
        <f t="shared" si="0"/>
        <v>47483</v>
      </c>
      <c r="K15" s="139">
        <f t="shared" si="0"/>
        <v>47848</v>
      </c>
      <c r="L15" s="139">
        <f t="shared" ref="L15" si="1">+DATE(YEAR(K15)+1,MONTH(K15),DAY(K15))</f>
        <v>48213</v>
      </c>
      <c r="M15" s="139">
        <f t="shared" ref="M15" si="2">+DATE(YEAR(L15)+1,MONTH(L15),DAY(L15))</f>
        <v>48579</v>
      </c>
      <c r="Q15" s="27"/>
    </row>
    <row r="16" spans="2:17" ht="16.2" x14ac:dyDescent="0.45">
      <c r="B16" s="27"/>
      <c r="C16" s="27"/>
      <c r="D16" s="27"/>
      <c r="E16" s="27"/>
      <c r="F16" s="27"/>
      <c r="G16" s="27"/>
      <c r="H16" s="27"/>
      <c r="I16" s="27"/>
      <c r="J16" s="27"/>
      <c r="K16" s="27"/>
      <c r="Q16" s="27"/>
    </row>
    <row r="17" spans="2:17" ht="16.2" x14ac:dyDescent="0.45">
      <c r="B17" s="27" t="s">
        <v>138</v>
      </c>
      <c r="C17" s="27"/>
      <c r="D17" s="27"/>
      <c r="E17" s="27"/>
      <c r="F17" s="27"/>
      <c r="G17" s="27"/>
      <c r="H17" s="27"/>
      <c r="I17" s="27"/>
      <c r="J17" s="27"/>
      <c r="K17" s="27"/>
      <c r="Q17" s="27"/>
    </row>
    <row r="18" spans="2:17" ht="16.2" x14ac:dyDescent="0.45">
      <c r="B18" s="33" t="s">
        <v>85</v>
      </c>
      <c r="C18" s="27"/>
      <c r="D18" s="27"/>
      <c r="E18" s="27"/>
      <c r="F18" s="27"/>
      <c r="G18" s="140">
        <v>7.0000000000000007E-2</v>
      </c>
      <c r="H18" s="140">
        <v>7.0000000000000007E-2</v>
      </c>
      <c r="I18" s="140">
        <v>0.05</v>
      </c>
      <c r="J18" s="140">
        <v>0.05</v>
      </c>
      <c r="K18" s="140">
        <v>0.05</v>
      </c>
      <c r="L18" s="140">
        <v>0.05</v>
      </c>
      <c r="M18" s="140">
        <v>0.05</v>
      </c>
      <c r="Q18" s="27"/>
    </row>
    <row r="19" spans="2:17" ht="16.2" x14ac:dyDescent="0.45">
      <c r="B19" s="33" t="s">
        <v>83</v>
      </c>
      <c r="C19" s="27"/>
      <c r="D19" s="27"/>
      <c r="E19" s="27"/>
      <c r="F19" s="27"/>
      <c r="G19" s="140">
        <v>0.09</v>
      </c>
      <c r="H19" s="140">
        <v>0.09</v>
      </c>
      <c r="I19" s="140">
        <v>9.5000000000000001E-2</v>
      </c>
      <c r="J19" s="140">
        <v>9.5000000000000001E-2</v>
      </c>
      <c r="K19" s="140">
        <v>9.5000000000000001E-2</v>
      </c>
      <c r="L19" s="140">
        <v>9.5000000000000001E-2</v>
      </c>
      <c r="M19" s="140">
        <v>9.5000000000000001E-2</v>
      </c>
      <c r="Q19" s="27"/>
    </row>
    <row r="20" spans="2:17" ht="16.2" x14ac:dyDescent="0.45">
      <c r="B20" s="33" t="s">
        <v>84</v>
      </c>
      <c r="C20" s="27"/>
      <c r="D20" s="27"/>
      <c r="E20" s="27"/>
      <c r="F20" s="27"/>
      <c r="G20" s="140">
        <v>0.10100000000000001</v>
      </c>
      <c r="H20" s="140">
        <v>0.10100000000000001</v>
      </c>
      <c r="I20" s="140">
        <v>0.10100000000000001</v>
      </c>
      <c r="J20" s="140">
        <v>0.10100000000000001</v>
      </c>
      <c r="K20" s="140">
        <v>0.10100000000000001</v>
      </c>
      <c r="L20" s="140">
        <v>0.10100000000000001</v>
      </c>
      <c r="M20" s="140">
        <v>0.10100000000000001</v>
      </c>
      <c r="Q20" s="27"/>
    </row>
    <row r="21" spans="2:17" ht="16.2" x14ac:dyDescent="0.45">
      <c r="B21" s="27"/>
      <c r="C21" s="27"/>
      <c r="D21" s="27"/>
      <c r="E21" s="27"/>
      <c r="F21" s="27"/>
      <c r="G21" s="27"/>
      <c r="H21" s="27"/>
      <c r="I21" s="27"/>
      <c r="J21" s="27"/>
      <c r="K21" s="27"/>
      <c r="Q21" s="27"/>
    </row>
    <row r="22" spans="2:17" ht="16.2" x14ac:dyDescent="0.45">
      <c r="B22" s="27" t="s">
        <v>139</v>
      </c>
      <c r="C22" s="27"/>
      <c r="D22" s="27"/>
      <c r="E22" s="27"/>
      <c r="F22" s="27"/>
      <c r="G22" s="27"/>
      <c r="H22" s="27"/>
      <c r="I22" s="27"/>
      <c r="J22" s="27"/>
      <c r="K22" s="27"/>
      <c r="Q22" s="27"/>
    </row>
    <row r="23" spans="2:17" ht="16.2" x14ac:dyDescent="0.45">
      <c r="B23" s="33" t="s">
        <v>85</v>
      </c>
      <c r="C23" s="27"/>
      <c r="D23" s="27"/>
      <c r="E23" s="27"/>
      <c r="F23" s="27"/>
      <c r="G23" s="140">
        <v>0.66</v>
      </c>
      <c r="H23" s="140">
        <v>0.66</v>
      </c>
      <c r="I23" s="140">
        <v>0.63</v>
      </c>
      <c r="J23" s="140">
        <v>0.63</v>
      </c>
      <c r="K23" s="140">
        <v>0.63</v>
      </c>
      <c r="L23" s="140">
        <v>0.63</v>
      </c>
      <c r="M23" s="140">
        <v>0.63</v>
      </c>
      <c r="Q23" s="27"/>
    </row>
    <row r="24" spans="2:17" ht="16.2" x14ac:dyDescent="0.45">
      <c r="B24" s="33" t="s">
        <v>83</v>
      </c>
      <c r="C24" s="27"/>
      <c r="D24" s="27"/>
      <c r="E24" s="27"/>
      <c r="F24" s="27"/>
      <c r="G24" s="140">
        <v>0.23</v>
      </c>
      <c r="H24" s="140">
        <v>0.23</v>
      </c>
      <c r="I24" s="140">
        <v>0.22</v>
      </c>
      <c r="J24" s="140">
        <v>0.22</v>
      </c>
      <c r="K24" s="140">
        <v>0.22</v>
      </c>
      <c r="L24" s="140">
        <v>0.22</v>
      </c>
      <c r="M24" s="140">
        <v>0.22</v>
      </c>
      <c r="Q24" s="27"/>
    </row>
    <row r="25" spans="2:17" ht="16.2" x14ac:dyDescent="0.45">
      <c r="B25" s="33" t="s">
        <v>84</v>
      </c>
      <c r="C25" s="27"/>
      <c r="D25" s="27"/>
      <c r="E25" s="27"/>
      <c r="F25" s="27"/>
      <c r="G25" s="140">
        <v>0.56999999999999995</v>
      </c>
      <c r="H25" s="140">
        <v>0.56999999999999995</v>
      </c>
      <c r="I25" s="140">
        <v>0.56999999999999995</v>
      </c>
      <c r="J25" s="140">
        <v>0.56999999999999995</v>
      </c>
      <c r="K25" s="140">
        <v>0.56999999999999995</v>
      </c>
      <c r="L25" s="140">
        <v>0.56999999999999995</v>
      </c>
      <c r="M25" s="140">
        <v>0.56999999999999995</v>
      </c>
      <c r="Q25" s="27"/>
    </row>
    <row r="26" spans="2:17" ht="16.2" x14ac:dyDescent="0.45">
      <c r="B26" s="27"/>
      <c r="C26" s="27"/>
      <c r="D26" s="27"/>
      <c r="E26" s="27"/>
      <c r="F26" s="27"/>
      <c r="G26" s="27"/>
      <c r="H26" s="27"/>
      <c r="I26" s="27"/>
      <c r="J26" s="27"/>
      <c r="K26" s="27"/>
      <c r="Q26" s="27"/>
    </row>
    <row r="27" spans="2:17" ht="16.2" x14ac:dyDescent="0.45">
      <c r="B27" s="27" t="s">
        <v>334</v>
      </c>
      <c r="C27" s="27"/>
      <c r="D27" s="27"/>
      <c r="E27" s="27"/>
      <c r="F27" s="27"/>
      <c r="G27" s="27"/>
      <c r="H27" s="27"/>
      <c r="I27" s="27"/>
      <c r="J27" s="27"/>
      <c r="K27" s="27"/>
      <c r="Q27" s="27"/>
    </row>
    <row r="28" spans="2:17" ht="16.2" x14ac:dyDescent="0.45">
      <c r="B28" s="33" t="s">
        <v>85</v>
      </c>
      <c r="C28" s="27"/>
      <c r="D28" s="27"/>
      <c r="E28" s="27"/>
      <c r="F28" s="27"/>
      <c r="G28" s="140">
        <v>6.3500000000000001E-2</v>
      </c>
      <c r="H28" s="140">
        <v>6.3500000000000001E-2</v>
      </c>
      <c r="I28" s="140">
        <v>6.4500000000000002E-2</v>
      </c>
      <c r="J28" s="140">
        <v>6.4500000000000002E-2</v>
      </c>
      <c r="K28" s="140">
        <v>6.4500000000000002E-2</v>
      </c>
      <c r="L28" s="140">
        <v>6.4500000000000002E-2</v>
      </c>
      <c r="M28" s="140">
        <v>6.4500000000000002E-2</v>
      </c>
      <c r="Q28" s="27"/>
    </row>
    <row r="29" spans="2:17" ht="16.2" x14ac:dyDescent="0.45">
      <c r="B29" s="33" t="s">
        <v>83</v>
      </c>
      <c r="C29" s="27"/>
      <c r="D29" s="27"/>
      <c r="E29" s="27"/>
      <c r="F29" s="27"/>
      <c r="G29" s="140">
        <v>0.11</v>
      </c>
      <c r="H29" s="140">
        <v>0.11</v>
      </c>
      <c r="I29" s="140">
        <v>0.11</v>
      </c>
      <c r="J29" s="140">
        <v>0.11</v>
      </c>
      <c r="K29" s="140">
        <v>0.11</v>
      </c>
      <c r="L29" s="140">
        <v>0.11</v>
      </c>
      <c r="M29" s="140">
        <v>0.11</v>
      </c>
      <c r="Q29" s="27"/>
    </row>
    <row r="30" spans="2:17" ht="16.2" x14ac:dyDescent="0.45">
      <c r="B30" s="33" t="s">
        <v>84</v>
      </c>
      <c r="C30" s="27"/>
      <c r="D30" s="27"/>
      <c r="E30" s="27"/>
      <c r="F30" s="27"/>
      <c r="G30" s="140">
        <v>9.5000000000000001E-2</v>
      </c>
      <c r="H30" s="140">
        <v>9.5000000000000001E-2</v>
      </c>
      <c r="I30" s="140">
        <v>9.5000000000000001E-2</v>
      </c>
      <c r="J30" s="140">
        <v>9.5000000000000001E-2</v>
      </c>
      <c r="K30" s="140">
        <v>9.5000000000000001E-2</v>
      </c>
      <c r="L30" s="140">
        <v>9.5000000000000001E-2</v>
      </c>
      <c r="M30" s="140">
        <v>9.5000000000000001E-2</v>
      </c>
      <c r="Q30" s="27"/>
    </row>
    <row r="31" spans="2:17" ht="16.2" x14ac:dyDescent="0.45">
      <c r="B31" s="27"/>
      <c r="C31" s="27"/>
      <c r="D31" s="27"/>
      <c r="E31" s="27"/>
      <c r="F31" s="27"/>
      <c r="G31" s="27"/>
      <c r="H31" s="27"/>
      <c r="I31" s="27"/>
      <c r="J31" s="27"/>
      <c r="K31" s="27"/>
      <c r="Q31" s="27"/>
    </row>
    <row r="32" spans="2:17" ht="16.2" x14ac:dyDescent="0.45">
      <c r="B32" s="27" t="s">
        <v>244</v>
      </c>
      <c r="C32" s="27"/>
      <c r="D32" s="27"/>
      <c r="E32" s="27"/>
      <c r="F32" s="27"/>
      <c r="G32" s="27"/>
      <c r="H32" s="27"/>
      <c r="I32" s="27"/>
      <c r="J32" s="27"/>
      <c r="K32" s="27"/>
      <c r="Q32" s="27"/>
    </row>
    <row r="33" spans="2:17" ht="16.2" x14ac:dyDescent="0.45">
      <c r="B33" s="33" t="s">
        <v>85</v>
      </c>
      <c r="C33" s="27"/>
      <c r="D33" s="27"/>
      <c r="E33" s="27"/>
      <c r="F33" s="27"/>
      <c r="G33" s="138">
        <v>3.3000000000000002E-2</v>
      </c>
      <c r="H33" s="138">
        <v>3.3000000000000002E-2</v>
      </c>
      <c r="I33" s="138">
        <v>3.2000000000000001E-2</v>
      </c>
      <c r="J33" s="138">
        <v>3.2000000000000001E-2</v>
      </c>
      <c r="K33" s="138">
        <v>3.2000000000000001E-2</v>
      </c>
      <c r="L33" s="138">
        <v>3.2000000000000001E-2</v>
      </c>
      <c r="M33" s="138">
        <v>3.2000000000000001E-2</v>
      </c>
      <c r="Q33" s="27"/>
    </row>
    <row r="34" spans="2:17" ht="16.2" x14ac:dyDescent="0.45">
      <c r="B34" s="33" t="s">
        <v>83</v>
      </c>
      <c r="C34" s="27"/>
      <c r="D34" s="27"/>
      <c r="E34" s="27"/>
      <c r="F34" s="27"/>
      <c r="G34" s="140">
        <v>1.4999999999999999E-2</v>
      </c>
      <c r="H34" s="140">
        <v>1.4999999999999999E-2</v>
      </c>
      <c r="I34" s="140">
        <v>1.4999999999999999E-2</v>
      </c>
      <c r="J34" s="140">
        <v>1.4999999999999999E-2</v>
      </c>
      <c r="K34" s="140">
        <v>1.4999999999999999E-2</v>
      </c>
      <c r="L34" s="140">
        <v>1.4999999999999999E-2</v>
      </c>
      <c r="M34" s="140">
        <v>1.4999999999999999E-2</v>
      </c>
      <c r="Q34" s="27"/>
    </row>
    <row r="35" spans="2:17" ht="16.2" x14ac:dyDescent="0.45">
      <c r="B35" s="33" t="s">
        <v>84</v>
      </c>
      <c r="C35" s="27"/>
      <c r="D35" s="27"/>
      <c r="E35" s="27"/>
      <c r="F35" s="27"/>
      <c r="G35" s="140">
        <v>8.0000000000000002E-3</v>
      </c>
      <c r="H35" s="140">
        <v>8.0000000000000002E-3</v>
      </c>
      <c r="I35" s="140">
        <v>8.0000000000000002E-3</v>
      </c>
      <c r="J35" s="140">
        <v>8.0000000000000002E-3</v>
      </c>
      <c r="K35" s="140">
        <v>8.0000000000000002E-3</v>
      </c>
      <c r="L35" s="140">
        <v>8.0000000000000002E-3</v>
      </c>
      <c r="M35" s="140">
        <v>8.0000000000000002E-3</v>
      </c>
      <c r="Q35" s="27"/>
    </row>
    <row r="36" spans="2:17" ht="16.2" x14ac:dyDescent="0.45">
      <c r="B36" s="27"/>
      <c r="C36" s="27"/>
      <c r="D36" s="27"/>
      <c r="E36" s="27"/>
      <c r="F36" s="27"/>
      <c r="G36" s="27"/>
      <c r="H36" s="27"/>
      <c r="I36" s="27"/>
      <c r="J36" s="27"/>
      <c r="K36" s="27"/>
      <c r="Q36" s="27"/>
    </row>
    <row r="37" spans="2:17" ht="16.2" x14ac:dyDescent="0.45">
      <c r="B37" s="27" t="s">
        <v>337</v>
      </c>
      <c r="C37" s="27"/>
      <c r="D37" s="27"/>
      <c r="E37" s="27"/>
      <c r="F37" s="27"/>
      <c r="G37" s="27"/>
      <c r="H37" s="27"/>
      <c r="I37" s="27"/>
      <c r="J37" s="27"/>
      <c r="K37" s="27"/>
      <c r="Q37" s="27"/>
    </row>
    <row r="38" spans="2:17" ht="16.2" x14ac:dyDescent="0.45">
      <c r="B38" s="33" t="s">
        <v>85</v>
      </c>
      <c r="C38" s="27"/>
      <c r="D38" s="27"/>
      <c r="E38" s="27"/>
      <c r="F38" s="27"/>
      <c r="G38" s="138">
        <v>3.7999999999999999E-2</v>
      </c>
      <c r="H38" s="138">
        <v>3.7999999999999999E-2</v>
      </c>
      <c r="I38" s="138">
        <v>0.04</v>
      </c>
      <c r="J38" s="138">
        <v>0.04</v>
      </c>
      <c r="K38" s="138">
        <v>0.04</v>
      </c>
      <c r="L38" s="138">
        <v>0.04</v>
      </c>
      <c r="M38" s="138">
        <v>0.04</v>
      </c>
    </row>
    <row r="39" spans="2:17" ht="16.2" x14ac:dyDescent="0.45">
      <c r="B39" s="33" t="s">
        <v>83</v>
      </c>
      <c r="C39" s="27"/>
      <c r="D39" s="27"/>
      <c r="E39" s="27"/>
      <c r="F39" s="27"/>
      <c r="G39" s="140">
        <v>1.4999999999999999E-2</v>
      </c>
      <c r="H39" s="140">
        <v>1.4999999999999999E-2</v>
      </c>
      <c r="I39" s="140">
        <v>1.4999999999999999E-2</v>
      </c>
      <c r="J39" s="140">
        <v>1.4999999999999999E-2</v>
      </c>
      <c r="K39" s="140">
        <v>1.4999999999999999E-2</v>
      </c>
      <c r="L39" s="140">
        <v>1.4999999999999999E-2</v>
      </c>
      <c r="M39" s="140">
        <v>1.4999999999999999E-2</v>
      </c>
    </row>
    <row r="40" spans="2:17" ht="16.2" x14ac:dyDescent="0.45">
      <c r="B40" s="33" t="s">
        <v>84</v>
      </c>
      <c r="C40" s="27"/>
      <c r="D40" s="27"/>
      <c r="E40" s="27"/>
      <c r="F40" s="27"/>
      <c r="G40" s="140">
        <v>8.0000000000000002E-3</v>
      </c>
      <c r="H40" s="140">
        <v>8.0000000000000002E-3</v>
      </c>
      <c r="I40" s="140">
        <v>8.0000000000000002E-3</v>
      </c>
      <c r="J40" s="140">
        <v>8.0000000000000002E-3</v>
      </c>
      <c r="K40" s="140">
        <v>8.0000000000000002E-3</v>
      </c>
      <c r="L40" s="140">
        <v>8.0000000000000002E-3</v>
      </c>
      <c r="M40" s="140">
        <v>8.0000000000000002E-3</v>
      </c>
    </row>
    <row r="41" spans="2:17" ht="16.2" x14ac:dyDescent="0.45">
      <c r="B41" s="27"/>
      <c r="C41" s="27"/>
      <c r="D41" s="27"/>
      <c r="E41" s="27"/>
      <c r="F41" s="27"/>
      <c r="G41" s="27"/>
      <c r="H41" s="27"/>
      <c r="I41" s="27"/>
      <c r="J41" s="27"/>
      <c r="K41" s="27"/>
      <c r="Q41" s="27"/>
    </row>
    <row r="42" spans="2:17" ht="16.2" x14ac:dyDescent="0.45">
      <c r="B42" s="27" t="s">
        <v>203</v>
      </c>
      <c r="C42" s="27"/>
      <c r="D42" s="27"/>
      <c r="E42" s="27"/>
      <c r="F42" s="27"/>
      <c r="G42" s="27"/>
      <c r="H42" s="27"/>
      <c r="I42" s="27"/>
      <c r="J42" s="27"/>
      <c r="K42" s="27"/>
      <c r="Q42" s="27"/>
    </row>
    <row r="43" spans="2:17" ht="16.2" x14ac:dyDescent="0.45">
      <c r="B43" s="33" t="s">
        <v>85</v>
      </c>
      <c r="C43" s="27"/>
      <c r="D43" s="27"/>
      <c r="E43" s="27"/>
      <c r="F43" s="27"/>
      <c r="G43" s="169">
        <v>0.17499999999999999</v>
      </c>
      <c r="H43" s="169">
        <v>0.17499999999999999</v>
      </c>
      <c r="I43" s="169">
        <v>0.16500000000000001</v>
      </c>
      <c r="J43" s="169">
        <v>0.16500000000000001</v>
      </c>
      <c r="K43" s="169">
        <v>0.16500000000000001</v>
      </c>
      <c r="L43" s="169">
        <v>0.16500000000000001</v>
      </c>
      <c r="M43" s="169">
        <v>0.16500000000000001</v>
      </c>
      <c r="Q43" s="27"/>
    </row>
    <row r="44" spans="2:17" ht="16.2" x14ac:dyDescent="0.45">
      <c r="B44" s="33" t="s">
        <v>83</v>
      </c>
      <c r="C44" s="27"/>
      <c r="D44" s="27"/>
      <c r="E44" s="27"/>
      <c r="F44" s="27"/>
      <c r="G44" s="169">
        <v>0.14799999999999999</v>
      </c>
      <c r="H44" s="169">
        <v>0.14799999999999999</v>
      </c>
      <c r="I44" s="169">
        <v>0.14799999999999999</v>
      </c>
      <c r="J44" s="169">
        <v>0.14799999999999999</v>
      </c>
      <c r="K44" s="169">
        <v>0.14799999999999999</v>
      </c>
      <c r="L44" s="169">
        <v>0.14799999999999999</v>
      </c>
      <c r="M44" s="169">
        <v>0.14799999999999999</v>
      </c>
      <c r="Q44" s="27"/>
    </row>
    <row r="45" spans="2:17" ht="16.2" x14ac:dyDescent="0.45">
      <c r="B45" s="33" t="s">
        <v>84</v>
      </c>
      <c r="C45" s="27"/>
      <c r="D45" s="27"/>
      <c r="E45" s="27"/>
      <c r="F45" s="27"/>
      <c r="G45" s="169">
        <v>0.14000000000000001</v>
      </c>
      <c r="H45" s="169">
        <v>0.14000000000000001</v>
      </c>
      <c r="I45" s="169">
        <v>0.14000000000000001</v>
      </c>
      <c r="J45" s="169">
        <v>0.14000000000000001</v>
      </c>
      <c r="K45" s="169">
        <v>0.14000000000000001</v>
      </c>
      <c r="L45" s="169">
        <v>0.14000000000000001</v>
      </c>
      <c r="M45" s="169">
        <v>0.14000000000000001</v>
      </c>
      <c r="Q45" s="27"/>
    </row>
    <row r="46" spans="2:17" ht="16.2" x14ac:dyDescent="0.45">
      <c r="B46" s="27"/>
      <c r="C46" s="27"/>
      <c r="D46" s="27"/>
      <c r="E46" s="27"/>
      <c r="F46" s="27"/>
      <c r="G46" s="27"/>
      <c r="H46" s="27"/>
      <c r="I46" s="27"/>
      <c r="J46" s="27"/>
      <c r="K46" s="27"/>
      <c r="Q46" s="27"/>
    </row>
    <row r="47" spans="2:17" ht="16.2" x14ac:dyDescent="0.45">
      <c r="B47" s="27" t="s">
        <v>144</v>
      </c>
      <c r="C47" s="27"/>
      <c r="D47" s="27"/>
      <c r="E47" s="27"/>
      <c r="F47" s="27"/>
      <c r="G47" s="27"/>
      <c r="H47" s="27"/>
      <c r="I47" s="27"/>
      <c r="J47" s="27"/>
      <c r="K47" s="27"/>
      <c r="Q47" s="27"/>
    </row>
    <row r="48" spans="2:17" ht="16.2" x14ac:dyDescent="0.45">
      <c r="B48" s="33" t="s">
        <v>85</v>
      </c>
      <c r="C48" s="27"/>
      <c r="D48" s="27"/>
      <c r="E48" s="27"/>
      <c r="F48" s="27"/>
      <c r="G48" s="140">
        <v>0.21</v>
      </c>
      <c r="H48" s="140">
        <v>0.21</v>
      </c>
      <c r="I48" s="140">
        <v>0.21</v>
      </c>
      <c r="J48" s="140">
        <v>0.21</v>
      </c>
      <c r="K48" s="140">
        <v>0.21</v>
      </c>
      <c r="L48" s="140">
        <v>0.21</v>
      </c>
      <c r="M48" s="140">
        <v>0.21</v>
      </c>
      <c r="Q48" s="27"/>
    </row>
    <row r="49" spans="2:17" ht="16.2" x14ac:dyDescent="0.45">
      <c r="B49" s="33" t="s">
        <v>83</v>
      </c>
      <c r="C49" s="27"/>
      <c r="D49" s="27"/>
      <c r="E49" s="27"/>
      <c r="F49" s="27"/>
      <c r="G49" s="140">
        <v>0.21</v>
      </c>
      <c r="H49" s="140">
        <v>0.21</v>
      </c>
      <c r="I49" s="140">
        <v>0.21</v>
      </c>
      <c r="J49" s="140">
        <v>0.21</v>
      </c>
      <c r="K49" s="140">
        <v>0.21</v>
      </c>
      <c r="L49" s="140">
        <v>0.21</v>
      </c>
      <c r="M49" s="140">
        <v>0.21</v>
      </c>
      <c r="Q49" s="27"/>
    </row>
    <row r="50" spans="2:17" ht="16.2" x14ac:dyDescent="0.45">
      <c r="B50" s="33" t="s">
        <v>84</v>
      </c>
      <c r="C50" s="27"/>
      <c r="D50" s="27"/>
      <c r="E50" s="27"/>
      <c r="F50" s="27"/>
      <c r="G50" s="140">
        <v>0.21</v>
      </c>
      <c r="H50" s="140">
        <v>0.21</v>
      </c>
      <c r="I50" s="140">
        <v>0.21</v>
      </c>
      <c r="J50" s="140">
        <v>0.21</v>
      </c>
      <c r="K50" s="140">
        <v>0.21</v>
      </c>
      <c r="L50" s="140">
        <v>0.21</v>
      </c>
      <c r="M50" s="140">
        <v>0.21</v>
      </c>
      <c r="Q50" s="27"/>
    </row>
    <row r="51" spans="2:17" ht="16.2" x14ac:dyDescent="0.45">
      <c r="B51" s="27"/>
      <c r="C51" s="27"/>
      <c r="D51" s="27"/>
      <c r="E51" s="27"/>
      <c r="F51" s="27"/>
      <c r="G51" s="27"/>
      <c r="H51" s="27"/>
      <c r="I51" s="27"/>
      <c r="J51" s="27"/>
      <c r="K51" s="27"/>
      <c r="Q51" s="27"/>
    </row>
    <row r="52" spans="2:17" ht="16.2" x14ac:dyDescent="0.45">
      <c r="B52" s="29" t="s">
        <v>145</v>
      </c>
      <c r="C52" s="27"/>
      <c r="D52" s="27"/>
      <c r="E52" s="27"/>
      <c r="F52" s="27"/>
      <c r="G52" s="27"/>
      <c r="H52" s="27"/>
      <c r="I52" s="27"/>
      <c r="J52" s="27"/>
      <c r="K52" s="27"/>
      <c r="Q52" s="27"/>
    </row>
    <row r="53" spans="2:17" ht="16.2" x14ac:dyDescent="0.45">
      <c r="B53" s="27" t="s">
        <v>72</v>
      </c>
      <c r="C53" s="27"/>
      <c r="D53" s="27"/>
      <c r="E53" s="27"/>
      <c r="F53" s="27"/>
      <c r="G53" s="27"/>
      <c r="H53" s="27"/>
      <c r="I53" s="27"/>
      <c r="J53" s="27"/>
      <c r="K53" s="27"/>
      <c r="Q53" s="27"/>
    </row>
    <row r="54" spans="2:17" ht="16.2" x14ac:dyDescent="0.45">
      <c r="B54" s="33" t="s">
        <v>85</v>
      </c>
      <c r="C54" s="27"/>
      <c r="D54" s="27"/>
      <c r="E54" s="27"/>
      <c r="F54" s="27"/>
      <c r="G54" s="141">
        <v>106</v>
      </c>
      <c r="H54" s="141">
        <v>106</v>
      </c>
      <c r="I54" s="141">
        <v>106</v>
      </c>
      <c r="J54" s="141">
        <v>106</v>
      </c>
      <c r="K54" s="141">
        <v>106</v>
      </c>
      <c r="L54" s="141">
        <v>106</v>
      </c>
      <c r="M54" s="141">
        <v>106</v>
      </c>
      <c r="Q54" s="27"/>
    </row>
    <row r="55" spans="2:17" ht="16.2" x14ac:dyDescent="0.45">
      <c r="B55" s="33" t="s">
        <v>83</v>
      </c>
      <c r="C55" s="27"/>
      <c r="D55" s="27"/>
      <c r="E55" s="27"/>
      <c r="F55" s="27"/>
      <c r="G55" s="141">
        <v>45</v>
      </c>
      <c r="H55" s="141">
        <v>45</v>
      </c>
      <c r="I55" s="141">
        <v>45</v>
      </c>
      <c r="J55" s="141">
        <v>45</v>
      </c>
      <c r="K55" s="141">
        <v>45</v>
      </c>
      <c r="L55" s="141">
        <v>45</v>
      </c>
      <c r="M55" s="141">
        <v>45</v>
      </c>
      <c r="Q55" s="27"/>
    </row>
    <row r="56" spans="2:17" ht="16.2" x14ac:dyDescent="0.45">
      <c r="B56" s="33" t="s">
        <v>84</v>
      </c>
      <c r="C56" s="27"/>
      <c r="D56" s="27"/>
      <c r="E56" s="27"/>
      <c r="F56" s="27"/>
      <c r="G56" s="141">
        <v>37</v>
      </c>
      <c r="H56" s="141">
        <v>37</v>
      </c>
      <c r="I56" s="141">
        <v>37</v>
      </c>
      <c r="J56" s="141">
        <v>37</v>
      </c>
      <c r="K56" s="141">
        <v>37</v>
      </c>
      <c r="L56" s="141">
        <v>37</v>
      </c>
      <c r="M56" s="141">
        <v>37</v>
      </c>
      <c r="Q56" s="27"/>
    </row>
    <row r="57" spans="2:17" ht="16.2" x14ac:dyDescent="0.45">
      <c r="B57" s="27"/>
      <c r="C57" s="27"/>
      <c r="D57" s="27"/>
      <c r="E57" s="27"/>
      <c r="F57" s="27"/>
      <c r="G57" s="27"/>
      <c r="H57" s="27"/>
      <c r="I57" s="27"/>
      <c r="J57" s="27"/>
      <c r="K57" s="27"/>
      <c r="Q57" s="27"/>
    </row>
    <row r="58" spans="2:17" ht="16.2" x14ac:dyDescent="0.45">
      <c r="B58" s="27" t="s">
        <v>73</v>
      </c>
      <c r="C58" s="27"/>
      <c r="D58" s="27"/>
      <c r="E58" s="27"/>
      <c r="F58" s="27"/>
      <c r="G58" s="27"/>
      <c r="H58" s="27"/>
      <c r="I58" s="27"/>
      <c r="J58" s="27"/>
      <c r="K58" s="27"/>
      <c r="Q58" s="27"/>
    </row>
    <row r="59" spans="2:17" ht="16.2" x14ac:dyDescent="0.45">
      <c r="B59" s="33" t="s">
        <v>85</v>
      </c>
      <c r="C59" s="27"/>
      <c r="D59" s="27"/>
      <c r="E59" s="27"/>
      <c r="F59" s="27"/>
      <c r="G59" s="141">
        <v>142</v>
      </c>
      <c r="H59" s="141">
        <v>142</v>
      </c>
      <c r="I59" s="141">
        <v>142</v>
      </c>
      <c r="J59" s="141">
        <v>142</v>
      </c>
      <c r="K59" s="141">
        <v>142</v>
      </c>
      <c r="L59" s="141">
        <v>142</v>
      </c>
      <c r="M59" s="141">
        <v>142</v>
      </c>
      <c r="Q59" s="27"/>
    </row>
    <row r="60" spans="2:17" ht="16.2" x14ac:dyDescent="0.45">
      <c r="B60" s="33" t="s">
        <v>83</v>
      </c>
      <c r="C60" s="27"/>
      <c r="D60" s="27"/>
      <c r="E60" s="27"/>
      <c r="F60" s="27"/>
      <c r="G60" s="141">
        <v>0</v>
      </c>
      <c r="H60" s="141">
        <v>0</v>
      </c>
      <c r="I60" s="141">
        <v>0</v>
      </c>
      <c r="J60" s="141">
        <v>0</v>
      </c>
      <c r="K60" s="141">
        <v>0</v>
      </c>
      <c r="L60" s="141">
        <v>0</v>
      </c>
      <c r="M60" s="141">
        <v>0</v>
      </c>
      <c r="Q60" s="27"/>
    </row>
    <row r="61" spans="2:17" ht="16.2" x14ac:dyDescent="0.45">
      <c r="B61" s="33" t="s">
        <v>84</v>
      </c>
      <c r="C61" s="27"/>
      <c r="D61" s="27"/>
      <c r="E61" s="27"/>
      <c r="F61" s="27"/>
      <c r="G61" s="141">
        <v>0</v>
      </c>
      <c r="H61" s="141">
        <v>0</v>
      </c>
      <c r="I61" s="141">
        <v>0</v>
      </c>
      <c r="J61" s="141">
        <v>0</v>
      </c>
      <c r="K61" s="141">
        <v>0</v>
      </c>
      <c r="L61" s="141">
        <v>0</v>
      </c>
      <c r="M61" s="141">
        <v>0</v>
      </c>
      <c r="Q61" s="27"/>
    </row>
    <row r="62" spans="2:17" ht="16.2" x14ac:dyDescent="0.45">
      <c r="B62" s="27"/>
      <c r="C62" s="27"/>
      <c r="D62" s="27"/>
      <c r="E62" s="27"/>
      <c r="F62" s="27"/>
      <c r="G62" s="27"/>
      <c r="H62" s="27"/>
      <c r="I62" s="27"/>
      <c r="J62" s="27"/>
      <c r="K62" s="27"/>
      <c r="Q62" s="27"/>
    </row>
    <row r="63" spans="2:17" ht="16.2" x14ac:dyDescent="0.45">
      <c r="B63" s="27" t="s">
        <v>74</v>
      </c>
      <c r="C63" s="27"/>
      <c r="D63" s="27"/>
      <c r="E63" s="27"/>
      <c r="F63" s="27"/>
      <c r="G63" s="27"/>
      <c r="H63" s="27"/>
      <c r="I63" s="27"/>
      <c r="J63" s="27"/>
      <c r="K63" s="27"/>
      <c r="Q63" s="27"/>
    </row>
    <row r="64" spans="2:17" ht="16.2" x14ac:dyDescent="0.45">
      <c r="B64" s="33" t="s">
        <v>85</v>
      </c>
      <c r="C64" s="27"/>
      <c r="D64" s="27"/>
      <c r="E64" s="27"/>
      <c r="F64" s="27"/>
      <c r="G64" s="141">
        <v>71</v>
      </c>
      <c r="H64" s="141">
        <v>71</v>
      </c>
      <c r="I64" s="141">
        <v>71</v>
      </c>
      <c r="J64" s="141">
        <v>71</v>
      </c>
      <c r="K64" s="141">
        <v>71</v>
      </c>
      <c r="L64" s="141">
        <v>71</v>
      </c>
      <c r="M64" s="141">
        <v>71</v>
      </c>
      <c r="Q64" s="27"/>
    </row>
    <row r="65" spans="2:17" ht="16.2" x14ac:dyDescent="0.45">
      <c r="B65" s="33" t="s">
        <v>83</v>
      </c>
      <c r="C65" s="27"/>
      <c r="D65" s="27"/>
      <c r="E65" s="27"/>
      <c r="F65" s="27"/>
      <c r="G65" s="141">
        <v>46</v>
      </c>
      <c r="H65" s="141">
        <v>46</v>
      </c>
      <c r="I65" s="141">
        <v>46</v>
      </c>
      <c r="J65" s="141">
        <v>46</v>
      </c>
      <c r="K65" s="141">
        <v>46</v>
      </c>
      <c r="L65" s="141">
        <v>46</v>
      </c>
      <c r="M65" s="141">
        <v>46</v>
      </c>
      <c r="Q65" s="27"/>
    </row>
    <row r="66" spans="2:17" ht="16.2" x14ac:dyDescent="0.45">
      <c r="B66" s="33" t="s">
        <v>84</v>
      </c>
      <c r="C66" s="27"/>
      <c r="D66" s="27"/>
      <c r="E66" s="27"/>
      <c r="F66" s="27"/>
      <c r="G66" s="141">
        <v>55</v>
      </c>
      <c r="H66" s="141">
        <v>55</v>
      </c>
      <c r="I66" s="141">
        <v>55</v>
      </c>
      <c r="J66" s="141">
        <v>55</v>
      </c>
      <c r="K66" s="141">
        <v>55</v>
      </c>
      <c r="L66" s="141">
        <v>55</v>
      </c>
      <c r="M66" s="141">
        <v>55</v>
      </c>
      <c r="Q66" s="27"/>
    </row>
    <row r="67" spans="2:17" ht="16.2" x14ac:dyDescent="0.45">
      <c r="B67" s="27"/>
      <c r="C67" s="27"/>
      <c r="D67" s="27"/>
      <c r="E67" s="27"/>
      <c r="F67" s="27"/>
      <c r="G67" s="27"/>
      <c r="H67" s="27"/>
      <c r="I67" s="27"/>
      <c r="J67" s="27"/>
      <c r="K67" s="27"/>
      <c r="Q67" s="27"/>
    </row>
    <row r="68" spans="2:17" ht="16.2" x14ac:dyDescent="0.45">
      <c r="B68" s="27" t="s">
        <v>204</v>
      </c>
      <c r="C68" s="27"/>
      <c r="D68" s="27"/>
      <c r="E68" s="27"/>
      <c r="F68" s="27"/>
      <c r="G68" s="27"/>
      <c r="H68" s="27"/>
      <c r="I68" s="27"/>
      <c r="J68" s="27"/>
      <c r="K68" s="27"/>
      <c r="Q68" s="27"/>
    </row>
    <row r="69" spans="2:17" ht="16.2" x14ac:dyDescent="0.45">
      <c r="B69" s="33" t="s">
        <v>85</v>
      </c>
      <c r="C69" s="27"/>
      <c r="D69" s="27"/>
      <c r="E69" s="27"/>
      <c r="F69" s="27"/>
      <c r="G69" s="169">
        <v>0.30499999999999999</v>
      </c>
      <c r="H69" s="169">
        <v>0.23</v>
      </c>
      <c r="I69" s="169">
        <v>0.23</v>
      </c>
      <c r="J69" s="169">
        <v>0.23</v>
      </c>
      <c r="K69" s="169">
        <v>0.23</v>
      </c>
      <c r="L69" s="169">
        <v>0.23</v>
      </c>
      <c r="M69" s="169">
        <v>0.23</v>
      </c>
      <c r="Q69" s="27"/>
    </row>
    <row r="70" spans="2:17" ht="16.2" x14ac:dyDescent="0.45">
      <c r="B70" s="33" t="s">
        <v>83</v>
      </c>
      <c r="C70" s="27"/>
      <c r="D70" s="27"/>
      <c r="E70" s="27"/>
      <c r="F70" s="27"/>
      <c r="G70" s="169">
        <v>0.2225</v>
      </c>
      <c r="H70" s="169">
        <v>0.2225</v>
      </c>
      <c r="I70" s="169">
        <v>0.2225</v>
      </c>
      <c r="J70" s="169">
        <v>0.2225</v>
      </c>
      <c r="K70" s="169">
        <v>0.2225</v>
      </c>
      <c r="L70" s="169">
        <v>0.2225</v>
      </c>
      <c r="M70" s="169">
        <v>0.2225</v>
      </c>
      <c r="Q70" s="27"/>
    </row>
    <row r="71" spans="2:17" ht="16.2" x14ac:dyDescent="0.45">
      <c r="B71" s="33" t="s">
        <v>84</v>
      </c>
      <c r="C71" s="27"/>
      <c r="D71" s="27"/>
      <c r="E71" s="27"/>
      <c r="F71" s="27"/>
      <c r="G71" s="169">
        <v>0.185</v>
      </c>
      <c r="H71" s="169">
        <v>0.185</v>
      </c>
      <c r="I71" s="169">
        <v>0.185</v>
      </c>
      <c r="J71" s="169">
        <v>0.185</v>
      </c>
      <c r="K71" s="169">
        <v>0.185</v>
      </c>
      <c r="L71" s="169">
        <v>0.185</v>
      </c>
      <c r="M71" s="169">
        <v>0.185</v>
      </c>
      <c r="Q71" s="27"/>
    </row>
    <row r="72" spans="2:17" ht="16.2" x14ac:dyDescent="0.4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</row>
    <row r="73" spans="2:17" x14ac:dyDescent="0.3">
      <c r="B73" s="2"/>
      <c r="C73" s="2"/>
      <c r="D73" s="2"/>
      <c r="E73" s="2"/>
      <c r="G73" s="8"/>
      <c r="H73" s="8"/>
      <c r="I73" s="8"/>
      <c r="J73" s="8"/>
      <c r="K73" s="8"/>
    </row>
  </sheetData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441D-7F35-4F3F-9215-F802BADD2B11}">
  <sheetPr>
    <tabColor rgb="FF203764"/>
  </sheetPr>
  <dimension ref="A1:O135"/>
  <sheetViews>
    <sheetView topLeftCell="A28" zoomScale="70" zoomScaleNormal="70" workbookViewId="0">
      <pane xSplit="1" topLeftCell="B1" activePane="topRight" state="frozen"/>
      <selection pane="topRight" activeCell="T57" sqref="T57"/>
    </sheetView>
  </sheetViews>
  <sheetFormatPr defaultRowHeight="14.4" x14ac:dyDescent="0.3"/>
  <cols>
    <col min="1" max="1" width="2.33203125" customWidth="1"/>
    <col min="2" max="4" width="12.77734375" customWidth="1"/>
    <col min="5" max="9" width="20.77734375" customWidth="1"/>
    <col min="10" max="10" width="12.77734375" customWidth="1"/>
  </cols>
  <sheetData>
    <row r="1" spans="2:15" ht="24" x14ac:dyDescent="0.65">
      <c r="B1" s="24" t="s">
        <v>124</v>
      </c>
      <c r="C1" s="19"/>
      <c r="D1" s="19"/>
      <c r="J1" s="19"/>
    </row>
    <row r="2" spans="2:15" ht="16.2" x14ac:dyDescent="0.45">
      <c r="B2" s="27"/>
      <c r="C2" s="27"/>
      <c r="D2" s="27"/>
    </row>
    <row r="3" spans="2:15" ht="18" x14ac:dyDescent="0.5">
      <c r="B3" s="202" t="s">
        <v>71</v>
      </c>
      <c r="C3" s="27"/>
      <c r="D3" s="27"/>
      <c r="E3" s="29">
        <v>2021</v>
      </c>
      <c r="F3" s="29">
        <f>+E3+1</f>
        <v>2022</v>
      </c>
      <c r="G3" s="29">
        <f>+F3+1</f>
        <v>2023</v>
      </c>
      <c r="H3" s="29">
        <f>+G3+1</f>
        <v>2024</v>
      </c>
      <c r="I3" s="29">
        <f>+H3+1</f>
        <v>2025</v>
      </c>
      <c r="J3" s="149" t="s">
        <v>148</v>
      </c>
    </row>
    <row r="5" spans="2:15" ht="16.2" x14ac:dyDescent="0.45">
      <c r="B5" s="200" t="s">
        <v>274</v>
      </c>
      <c r="C5" s="27"/>
      <c r="D5" s="27"/>
      <c r="E5" s="201"/>
      <c r="F5" s="201"/>
      <c r="G5" s="201"/>
      <c r="H5" s="201"/>
      <c r="I5" s="201"/>
    </row>
    <row r="6" spans="2:15" ht="16.2" x14ac:dyDescent="0.45">
      <c r="B6" s="201" t="s">
        <v>275</v>
      </c>
      <c r="C6" s="27"/>
      <c r="D6" s="27"/>
      <c r="E6" s="201">
        <v>48188</v>
      </c>
      <c r="F6" s="201">
        <v>56574</v>
      </c>
      <c r="G6" s="201">
        <v>63869</v>
      </c>
      <c r="H6" s="201">
        <v>61363</v>
      </c>
      <c r="I6" s="201">
        <v>63980</v>
      </c>
    </row>
    <row r="7" spans="2:15" ht="16.2" x14ac:dyDescent="0.45">
      <c r="B7" s="201" t="s">
        <v>276</v>
      </c>
      <c r="C7" s="27"/>
      <c r="D7" s="27"/>
      <c r="E7" s="201">
        <v>2783</v>
      </c>
      <c r="F7" s="201">
        <v>2853</v>
      </c>
      <c r="G7" s="201">
        <v>3191</v>
      </c>
      <c r="H7" s="201">
        <v>3446</v>
      </c>
      <c r="I7" s="201">
        <v>3609</v>
      </c>
    </row>
    <row r="8" spans="2:15" ht="16.2" x14ac:dyDescent="0.45">
      <c r="B8" s="200" t="s">
        <v>277</v>
      </c>
      <c r="C8" s="27"/>
      <c r="D8" s="27"/>
      <c r="E8" s="200">
        <v>50971</v>
      </c>
      <c r="F8" s="200">
        <v>59427</v>
      </c>
      <c r="G8" s="200">
        <v>67060</v>
      </c>
      <c r="H8" s="200">
        <v>64809</v>
      </c>
      <c r="I8" s="200">
        <v>67589</v>
      </c>
    </row>
    <row r="9" spans="2:15" ht="16.2" x14ac:dyDescent="0.45">
      <c r="B9" s="201"/>
      <c r="C9" s="27"/>
      <c r="D9" s="27"/>
      <c r="E9" s="201"/>
      <c r="F9" s="201"/>
      <c r="G9" s="201"/>
      <c r="H9" s="201"/>
      <c r="I9" s="201"/>
    </row>
    <row r="10" spans="2:15" ht="16.2" x14ac:dyDescent="0.45">
      <c r="B10" s="200" t="s">
        <v>278</v>
      </c>
      <c r="C10" s="27"/>
      <c r="D10" s="27"/>
      <c r="E10" s="201"/>
      <c r="F10" s="201"/>
      <c r="G10" s="201"/>
      <c r="H10" s="201"/>
      <c r="I10" s="201"/>
      <c r="M10" s="5"/>
      <c r="N10" s="5"/>
      <c r="O10" s="5"/>
    </row>
    <row r="11" spans="2:15" ht="16.2" x14ac:dyDescent="0.45">
      <c r="B11" s="201" t="s">
        <v>279</v>
      </c>
      <c r="C11" s="27"/>
      <c r="D11" s="27"/>
      <c r="E11" s="201">
        <v>35513</v>
      </c>
      <c r="F11" s="201">
        <v>41350</v>
      </c>
      <c r="G11" s="201">
        <v>42767</v>
      </c>
      <c r="H11" s="201">
        <v>40199</v>
      </c>
      <c r="I11" s="201">
        <v>44752</v>
      </c>
    </row>
    <row r="12" spans="2:15" ht="16.2" x14ac:dyDescent="0.45">
      <c r="B12" s="201" t="s">
        <v>280</v>
      </c>
      <c r="C12" s="27"/>
      <c r="D12" s="27"/>
      <c r="E12" s="201">
        <v>5365</v>
      </c>
      <c r="F12" s="201">
        <v>5651</v>
      </c>
      <c r="G12" s="201">
        <v>6371</v>
      </c>
      <c r="H12" s="201">
        <v>6667</v>
      </c>
      <c r="I12" s="201">
        <v>6985</v>
      </c>
    </row>
    <row r="13" spans="2:15" ht="16.2" x14ac:dyDescent="0.45">
      <c r="B13" s="206" t="s">
        <v>336</v>
      </c>
      <c r="C13" s="27"/>
      <c r="D13" s="27"/>
      <c r="E13" s="27">
        <v>3013</v>
      </c>
      <c r="F13" s="27">
        <v>3432</v>
      </c>
      <c r="G13" s="27">
        <v>4227</v>
      </c>
      <c r="H13" s="27">
        <v>4514</v>
      </c>
      <c r="I13" s="27">
        <v>4723</v>
      </c>
    </row>
    <row r="14" spans="2:15" ht="16.2" x14ac:dyDescent="0.45">
      <c r="B14" s="206" t="s">
        <v>182</v>
      </c>
      <c r="C14" s="27"/>
      <c r="D14" s="27"/>
      <c r="E14" s="201">
        <v>2352</v>
      </c>
      <c r="F14" s="201">
        <v>2219</v>
      </c>
      <c r="G14" s="201">
        <v>2144</v>
      </c>
      <c r="H14" s="201">
        <v>2153</v>
      </c>
      <c r="I14" s="201">
        <v>2262</v>
      </c>
    </row>
    <row r="15" spans="2:15" ht="16.2" x14ac:dyDescent="0.45">
      <c r="B15" s="201" t="s">
        <v>281</v>
      </c>
      <c r="C15" s="27"/>
      <c r="D15" s="27"/>
      <c r="E15" s="201">
        <v>1686</v>
      </c>
      <c r="F15" s="201">
        <v>1814</v>
      </c>
      <c r="G15" s="201">
        <v>2108</v>
      </c>
      <c r="H15" s="201">
        <v>2107</v>
      </c>
      <c r="I15" s="201">
        <v>2148</v>
      </c>
    </row>
    <row r="16" spans="2:15" ht="16.2" x14ac:dyDescent="0.45">
      <c r="B16" s="201" t="s">
        <v>282</v>
      </c>
      <c r="C16" s="27"/>
      <c r="D16" s="27"/>
      <c r="E16" s="201">
        <v>455</v>
      </c>
      <c r="F16" s="201">
        <v>565</v>
      </c>
      <c r="G16" s="201">
        <v>1030</v>
      </c>
      <c r="H16" s="201">
        <v>1286</v>
      </c>
      <c r="I16" s="201">
        <v>1359</v>
      </c>
    </row>
    <row r="17" spans="2:9" ht="16.2" x14ac:dyDescent="0.45">
      <c r="B17" s="201" t="s">
        <v>283</v>
      </c>
      <c r="C17" s="27"/>
      <c r="D17" s="27"/>
      <c r="E17" s="201">
        <v>0</v>
      </c>
      <c r="F17" s="201">
        <v>925</v>
      </c>
      <c r="G17" s="201">
        <v>0</v>
      </c>
      <c r="H17" s="201">
        <v>0</v>
      </c>
      <c r="I17" s="201">
        <v>0</v>
      </c>
    </row>
    <row r="18" spans="2:9" s="5" customFormat="1" ht="16.2" x14ac:dyDescent="0.45">
      <c r="B18" s="201" t="s">
        <v>284</v>
      </c>
      <c r="C18" s="29"/>
      <c r="D18" s="29"/>
      <c r="E18" s="201">
        <v>1074</v>
      </c>
      <c r="F18" s="201">
        <v>1218</v>
      </c>
      <c r="G18" s="201">
        <v>1818</v>
      </c>
      <c r="H18" s="201">
        <v>1478</v>
      </c>
      <c r="I18" s="201">
        <v>1194</v>
      </c>
    </row>
    <row r="19" spans="2:9" ht="16.2" x14ac:dyDescent="0.45">
      <c r="B19" s="200" t="s">
        <v>285</v>
      </c>
      <c r="C19" s="27"/>
      <c r="D19" s="27"/>
      <c r="E19" s="200">
        <v>44093</v>
      </c>
      <c r="F19" s="200">
        <v>51523</v>
      </c>
      <c r="G19" s="200">
        <v>54094</v>
      </c>
      <c r="H19" s="200">
        <v>51737</v>
      </c>
      <c r="I19" s="200">
        <v>56438</v>
      </c>
    </row>
    <row r="20" spans="2:9" ht="16.2" x14ac:dyDescent="0.45">
      <c r="B20" s="201"/>
      <c r="C20" s="27"/>
      <c r="D20" s="27"/>
      <c r="E20" s="201"/>
      <c r="F20" s="201"/>
      <c r="G20" s="201"/>
      <c r="H20" s="201"/>
      <c r="I20" s="201"/>
    </row>
    <row r="21" spans="2:9" ht="16.2" x14ac:dyDescent="0.45">
      <c r="B21" s="200" t="s">
        <v>286</v>
      </c>
      <c r="C21" s="27"/>
      <c r="D21" s="27"/>
      <c r="E21" s="200">
        <v>6878</v>
      </c>
      <c r="F21" s="200">
        <v>7904</v>
      </c>
      <c r="G21" s="200">
        <v>12966</v>
      </c>
      <c r="H21" s="200">
        <v>13072</v>
      </c>
      <c r="I21" s="200">
        <v>11151</v>
      </c>
    </row>
    <row r="22" spans="2:9" ht="16.2" x14ac:dyDescent="0.45">
      <c r="B22" s="201"/>
      <c r="C22" s="27"/>
      <c r="D22" s="27"/>
      <c r="E22" s="201"/>
      <c r="F22" s="201"/>
      <c r="G22" s="201"/>
      <c r="H22" s="201"/>
      <c r="I22" s="201"/>
    </row>
    <row r="23" spans="2:9" ht="16.2" x14ac:dyDescent="0.45">
      <c r="B23" s="201" t="s">
        <v>287</v>
      </c>
      <c r="C23" s="27"/>
      <c r="D23" s="27"/>
      <c r="E23" s="201">
        <v>488</v>
      </c>
      <c r="F23" s="201">
        <v>443</v>
      </c>
      <c r="G23" s="201">
        <v>511</v>
      </c>
      <c r="H23" s="201">
        <v>512</v>
      </c>
      <c r="I23" s="201">
        <v>502</v>
      </c>
    </row>
    <row r="24" spans="2:9" ht="16.2" x14ac:dyDescent="0.45">
      <c r="B24" s="201" t="s">
        <v>288</v>
      </c>
      <c r="C24" s="27"/>
      <c r="D24" s="27"/>
      <c r="E24" s="201">
        <v>1814</v>
      </c>
      <c r="F24" s="201">
        <v>1291</v>
      </c>
      <c r="G24" s="201">
        <v>595</v>
      </c>
      <c r="H24" s="201">
        <v>813</v>
      </c>
      <c r="I24" s="201">
        <v>892</v>
      </c>
    </row>
    <row r="25" spans="2:9" ht="16.2" x14ac:dyDescent="0.45">
      <c r="B25" s="200" t="s">
        <v>289</v>
      </c>
      <c r="C25" s="27"/>
      <c r="D25" s="27"/>
      <c r="E25" s="200">
        <v>8204</v>
      </c>
      <c r="F25" s="200">
        <v>8752</v>
      </c>
      <c r="G25" s="200">
        <v>13050</v>
      </c>
      <c r="H25" s="200">
        <v>13373</v>
      </c>
      <c r="I25" s="200">
        <v>11541</v>
      </c>
    </row>
    <row r="26" spans="2:9" ht="16.2" x14ac:dyDescent="0.45">
      <c r="B26" s="201"/>
      <c r="C26" s="27"/>
      <c r="D26" s="27"/>
      <c r="E26" s="201"/>
      <c r="F26" s="201"/>
      <c r="G26" s="201"/>
      <c r="H26" s="201"/>
      <c r="I26" s="201"/>
    </row>
    <row r="27" spans="2:9" ht="16.2" x14ac:dyDescent="0.45">
      <c r="B27" s="201" t="s">
        <v>290</v>
      </c>
      <c r="C27" s="27"/>
      <c r="D27" s="27"/>
      <c r="E27" s="201">
        <v>1742</v>
      </c>
      <c r="F27" s="201">
        <v>2067</v>
      </c>
      <c r="G27" s="201">
        <v>2781</v>
      </c>
      <c r="H27" s="201">
        <v>2629</v>
      </c>
      <c r="I27" s="201">
        <v>2768</v>
      </c>
    </row>
    <row r="28" spans="2:9" s="5" customFormat="1" ht="16.2" x14ac:dyDescent="0.45">
      <c r="B28" s="201" t="s">
        <v>291</v>
      </c>
      <c r="C28" s="29"/>
      <c r="D28" s="29"/>
      <c r="E28" s="201">
        <v>31</v>
      </c>
      <c r="F28" s="201">
        <v>19</v>
      </c>
      <c r="G28" s="201">
        <v>63</v>
      </c>
      <c r="H28" s="201">
        <v>44</v>
      </c>
      <c r="I28" s="201">
        <v>109</v>
      </c>
    </row>
    <row r="29" spans="2:9" ht="16.2" x14ac:dyDescent="0.45">
      <c r="B29" s="201" t="s">
        <v>292</v>
      </c>
      <c r="C29" s="27"/>
      <c r="D29" s="27"/>
      <c r="E29" s="201">
        <v>4</v>
      </c>
      <c r="F29" s="201">
        <v>-1</v>
      </c>
      <c r="G29" s="201">
        <v>-3</v>
      </c>
      <c r="H29" s="201">
        <v>-4</v>
      </c>
      <c r="I29" s="201">
        <v>-2</v>
      </c>
    </row>
    <row r="30" spans="2:9" s="5" customFormat="1" ht="16.2" x14ac:dyDescent="0.45">
      <c r="B30" s="200" t="s">
        <v>293</v>
      </c>
      <c r="C30" s="29"/>
      <c r="D30" s="29"/>
      <c r="E30" s="200">
        <v>6489</v>
      </c>
      <c r="F30" s="200">
        <v>6705</v>
      </c>
      <c r="G30" s="200">
        <v>10335</v>
      </c>
      <c r="H30" s="200">
        <v>10792</v>
      </c>
      <c r="I30" s="200">
        <v>8884</v>
      </c>
    </row>
    <row r="31" spans="2:9" x14ac:dyDescent="0.3">
      <c r="B31" s="5"/>
      <c r="E31" s="5"/>
      <c r="F31" s="5"/>
      <c r="G31" s="5"/>
    </row>
    <row r="32" spans="2:9" x14ac:dyDescent="0.3">
      <c r="B32" s="5"/>
      <c r="E32" s="5"/>
      <c r="F32" s="5"/>
      <c r="G32" s="5"/>
    </row>
    <row r="33" spans="1:15" ht="18" x14ac:dyDescent="0.5">
      <c r="B33" s="202" t="s">
        <v>126</v>
      </c>
      <c r="E33" s="200">
        <v>2021</v>
      </c>
      <c r="F33" s="200">
        <v>2022</v>
      </c>
      <c r="G33" s="200">
        <v>2023</v>
      </c>
      <c r="H33" s="200">
        <v>2024</v>
      </c>
      <c r="I33" s="200">
        <v>2025</v>
      </c>
    </row>
    <row r="34" spans="1:15" ht="18" x14ac:dyDescent="0.5">
      <c r="A34" s="27"/>
      <c r="B34" s="203"/>
    </row>
    <row r="35" spans="1:15" ht="18" x14ac:dyDescent="0.5">
      <c r="A35" s="27"/>
      <c r="B35" s="204" t="s">
        <v>261</v>
      </c>
    </row>
    <row r="36" spans="1:15" ht="18" x14ac:dyDescent="0.5">
      <c r="A36" s="27"/>
      <c r="B36" s="205" t="s">
        <v>245</v>
      </c>
      <c r="E36" s="201">
        <v>9254</v>
      </c>
      <c r="F36" s="201">
        <v>7004</v>
      </c>
      <c r="G36" s="201">
        <v>6978</v>
      </c>
      <c r="H36" s="201">
        <v>6889</v>
      </c>
      <c r="I36" s="201">
        <v>9980</v>
      </c>
    </row>
    <row r="37" spans="1:15" ht="18" x14ac:dyDescent="0.5">
      <c r="A37" s="27"/>
      <c r="B37" s="205" t="s">
        <v>294</v>
      </c>
      <c r="E37" s="201">
        <v>8477</v>
      </c>
      <c r="F37" s="201">
        <v>8856</v>
      </c>
      <c r="G37" s="201">
        <v>9310</v>
      </c>
      <c r="H37" s="201">
        <v>9282</v>
      </c>
      <c r="I37" s="201">
        <v>10920</v>
      </c>
    </row>
    <row r="38" spans="1:15" ht="18" x14ac:dyDescent="0.5">
      <c r="A38" s="27"/>
      <c r="B38" s="205" t="s">
        <v>295</v>
      </c>
      <c r="E38" s="201">
        <v>8898</v>
      </c>
      <c r="F38" s="201">
        <v>9013</v>
      </c>
      <c r="G38" s="201">
        <v>9510</v>
      </c>
      <c r="H38" s="201">
        <v>9565</v>
      </c>
      <c r="I38" s="201">
        <v>10649</v>
      </c>
    </row>
    <row r="39" spans="1:15" ht="18" x14ac:dyDescent="0.5">
      <c r="A39" s="27"/>
      <c r="B39" s="205" t="s">
        <v>296</v>
      </c>
      <c r="E39" s="201">
        <v>14038</v>
      </c>
      <c r="F39" s="201">
        <v>16270</v>
      </c>
      <c r="G39" s="201">
        <v>16565</v>
      </c>
      <c r="H39" s="201">
        <v>16827</v>
      </c>
      <c r="I39" s="201">
        <v>18135</v>
      </c>
    </row>
    <row r="40" spans="1:15" ht="18" x14ac:dyDescent="0.5">
      <c r="A40" s="27"/>
      <c r="B40" s="205" t="s">
        <v>257</v>
      </c>
      <c r="E40" s="201">
        <v>2788</v>
      </c>
      <c r="F40" s="201">
        <v>2642</v>
      </c>
      <c r="G40" s="201">
        <v>4586</v>
      </c>
      <c r="H40" s="201">
        <v>3119</v>
      </c>
      <c r="I40" s="201">
        <v>2801</v>
      </c>
    </row>
    <row r="41" spans="1:15" ht="18" x14ac:dyDescent="0.5">
      <c r="A41" s="27"/>
      <c r="B41" s="204" t="s">
        <v>246</v>
      </c>
      <c r="E41" s="200">
        <v>43455</v>
      </c>
      <c r="F41" s="200">
        <v>43785</v>
      </c>
      <c r="G41" s="200">
        <v>46949</v>
      </c>
      <c r="H41" s="200">
        <v>45682</v>
      </c>
      <c r="I41" s="200">
        <v>52485</v>
      </c>
    </row>
    <row r="42" spans="1:15" s="5" customFormat="1" ht="18" x14ac:dyDescent="0.5">
      <c r="A42" s="29"/>
      <c r="B42" s="205" t="s">
        <v>297</v>
      </c>
      <c r="E42" s="201">
        <v>12090</v>
      </c>
      <c r="F42" s="201">
        <v>12028</v>
      </c>
      <c r="G42" s="201">
        <v>12680</v>
      </c>
      <c r="H42" s="201">
        <v>13361</v>
      </c>
      <c r="I42" s="201">
        <v>15140</v>
      </c>
    </row>
    <row r="43" spans="1:15" s="5" customFormat="1" ht="18" x14ac:dyDescent="0.5">
      <c r="A43" s="29"/>
      <c r="B43" s="205" t="s">
        <v>298</v>
      </c>
      <c r="E43" s="201">
        <v>13911</v>
      </c>
      <c r="F43" s="201">
        <v>13278</v>
      </c>
      <c r="G43" s="201">
        <v>13902</v>
      </c>
      <c r="H43" s="201">
        <v>14467</v>
      </c>
      <c r="I43" s="201">
        <v>16414</v>
      </c>
    </row>
    <row r="44" spans="1:15" ht="18" x14ac:dyDescent="0.5">
      <c r="A44" s="27"/>
      <c r="B44" s="205" t="s">
        <v>299</v>
      </c>
      <c r="E44" s="201">
        <v>7366</v>
      </c>
      <c r="F44" s="201">
        <v>6046</v>
      </c>
      <c r="G44" s="201">
        <v>5872</v>
      </c>
      <c r="H44" s="201">
        <v>5640</v>
      </c>
      <c r="I44" s="201">
        <v>5562</v>
      </c>
    </row>
    <row r="45" spans="1:15" s="5" customFormat="1" ht="18" x14ac:dyDescent="0.5">
      <c r="A45" s="29"/>
      <c r="B45" s="205" t="s">
        <v>258</v>
      </c>
      <c r="E45" s="201">
        <v>5971</v>
      </c>
      <c r="F45" s="201">
        <v>6806</v>
      </c>
      <c r="G45" s="201">
        <v>8073</v>
      </c>
      <c r="H45" s="201">
        <v>8614</v>
      </c>
      <c r="I45" s="201">
        <v>8984</v>
      </c>
      <c r="J45"/>
    </row>
    <row r="46" spans="1:15" ht="18" x14ac:dyDescent="0.5">
      <c r="A46" s="27"/>
      <c r="B46" s="204" t="s">
        <v>247</v>
      </c>
      <c r="E46" s="200">
        <v>82793</v>
      </c>
      <c r="F46" s="200">
        <v>81943</v>
      </c>
      <c r="G46" s="200">
        <v>87476</v>
      </c>
      <c r="H46" s="200">
        <v>87764</v>
      </c>
      <c r="I46" s="200">
        <v>98585</v>
      </c>
      <c r="N46" s="5"/>
      <c r="O46" s="5"/>
    </row>
    <row r="47" spans="1:15" ht="18" x14ac:dyDescent="0.5">
      <c r="A47" s="27"/>
      <c r="B47" s="205"/>
      <c r="E47" s="201"/>
      <c r="F47" s="201"/>
      <c r="G47" s="201"/>
      <c r="H47" s="201"/>
      <c r="I47" s="201"/>
      <c r="N47" s="5"/>
      <c r="O47" s="5"/>
    </row>
    <row r="48" spans="1:15" s="5" customFormat="1" ht="18" x14ac:dyDescent="0.5">
      <c r="A48" s="29"/>
      <c r="B48" s="204" t="s">
        <v>300</v>
      </c>
      <c r="E48" s="201"/>
      <c r="F48" s="201"/>
      <c r="G48" s="201"/>
      <c r="H48" s="201"/>
      <c r="I48" s="201"/>
      <c r="J48"/>
      <c r="N48"/>
      <c r="O48"/>
    </row>
    <row r="49" spans="1:15" ht="18" x14ac:dyDescent="0.5">
      <c r="A49" s="27"/>
      <c r="B49" s="205" t="s">
        <v>301</v>
      </c>
      <c r="E49" s="201">
        <v>5404</v>
      </c>
      <c r="F49" s="201">
        <v>5957</v>
      </c>
      <c r="G49" s="201">
        <v>4643</v>
      </c>
      <c r="H49" s="201">
        <v>4393</v>
      </c>
      <c r="I49" s="201">
        <v>5514</v>
      </c>
    </row>
    <row r="50" spans="1:15" s="5" customFormat="1" ht="18" x14ac:dyDescent="0.5">
      <c r="A50" s="29"/>
      <c r="B50" s="205" t="s">
        <v>248</v>
      </c>
      <c r="E50" s="201">
        <v>8154</v>
      </c>
      <c r="F50" s="201">
        <v>8689</v>
      </c>
      <c r="G50" s="201">
        <v>7906</v>
      </c>
      <c r="H50" s="201">
        <v>7675</v>
      </c>
      <c r="I50" s="201">
        <v>8968</v>
      </c>
      <c r="J50"/>
      <c r="N50"/>
      <c r="O50"/>
    </row>
    <row r="51" spans="1:15" ht="18" x14ac:dyDescent="0.5">
      <c r="A51" s="27"/>
      <c r="B51" s="205" t="s">
        <v>302</v>
      </c>
      <c r="E51" s="201">
        <v>5999</v>
      </c>
      <c r="F51" s="201">
        <v>6393</v>
      </c>
      <c r="G51" s="201">
        <v>7715</v>
      </c>
      <c r="H51" s="201">
        <v>7634</v>
      </c>
      <c r="I51" s="201">
        <v>8141</v>
      </c>
    </row>
    <row r="52" spans="1:15" ht="18" x14ac:dyDescent="0.5">
      <c r="A52" s="27"/>
      <c r="B52" s="205" t="s">
        <v>303</v>
      </c>
      <c r="E52" s="201">
        <v>6352</v>
      </c>
      <c r="F52" s="201">
        <v>5322</v>
      </c>
      <c r="G52" s="201">
        <v>8763</v>
      </c>
      <c r="H52" s="201">
        <v>6665</v>
      </c>
      <c r="I52" s="201">
        <v>7120</v>
      </c>
    </row>
    <row r="53" spans="1:15" ht="18" x14ac:dyDescent="0.5">
      <c r="A53" s="27"/>
      <c r="B53" s="205" t="s">
        <v>264</v>
      </c>
      <c r="E53" s="201">
        <v>3938</v>
      </c>
      <c r="F53" s="201">
        <v>5170</v>
      </c>
      <c r="G53" s="201">
        <v>5701</v>
      </c>
      <c r="H53" s="201">
        <v>5905</v>
      </c>
      <c r="I53" s="201">
        <v>6815</v>
      </c>
    </row>
    <row r="54" spans="1:15" ht="18" x14ac:dyDescent="0.5">
      <c r="A54" s="27"/>
      <c r="B54" s="204" t="s">
        <v>249</v>
      </c>
      <c r="E54" s="200">
        <v>29847</v>
      </c>
      <c r="F54" s="200">
        <v>31531</v>
      </c>
      <c r="G54" s="200">
        <v>34728</v>
      </c>
      <c r="H54" s="200">
        <v>32272</v>
      </c>
      <c r="I54" s="200">
        <v>36558</v>
      </c>
      <c r="N54" s="5"/>
      <c r="O54" s="5"/>
    </row>
    <row r="55" spans="1:15" ht="18" x14ac:dyDescent="0.5">
      <c r="A55" s="27"/>
      <c r="B55" s="205" t="s">
        <v>304</v>
      </c>
      <c r="E55" s="201">
        <v>26033</v>
      </c>
      <c r="F55" s="201">
        <v>25714</v>
      </c>
      <c r="G55" s="201">
        <v>24472</v>
      </c>
      <c r="H55" s="201">
        <v>27351</v>
      </c>
      <c r="I55" s="201">
        <v>30696</v>
      </c>
    </row>
    <row r="56" spans="1:15" s="5" customFormat="1" ht="18" x14ac:dyDescent="0.5">
      <c r="A56" s="29"/>
      <c r="B56" s="205" t="s">
        <v>259</v>
      </c>
      <c r="E56" s="201">
        <v>10397</v>
      </c>
      <c r="F56" s="201">
        <v>8807</v>
      </c>
      <c r="G56" s="201">
        <v>8773</v>
      </c>
      <c r="H56" s="201">
        <v>8647</v>
      </c>
      <c r="I56" s="201">
        <v>10013</v>
      </c>
      <c r="J56"/>
      <c r="N56"/>
      <c r="O56"/>
    </row>
    <row r="57" spans="1:15" s="5" customFormat="1" ht="18" x14ac:dyDescent="0.5">
      <c r="A57" s="29"/>
      <c r="B57" s="204" t="s">
        <v>250</v>
      </c>
      <c r="E57" s="200">
        <v>66277</v>
      </c>
      <c r="F57" s="200">
        <v>66052</v>
      </c>
      <c r="G57" s="200">
        <v>67973</v>
      </c>
      <c r="H57" s="200">
        <v>68270</v>
      </c>
      <c r="I57" s="200">
        <v>77267</v>
      </c>
      <c r="J57"/>
      <c r="N57"/>
      <c r="O57"/>
    </row>
    <row r="58" spans="1:15" s="5" customFormat="1" ht="18" x14ac:dyDescent="0.5">
      <c r="A58" s="29"/>
      <c r="B58" s="205"/>
      <c r="E58" s="201"/>
      <c r="F58" s="201"/>
      <c r="G58" s="201"/>
      <c r="H58" s="201"/>
      <c r="I58" s="201"/>
      <c r="J58"/>
      <c r="N58"/>
      <c r="O58"/>
    </row>
    <row r="59" spans="1:15" s="5" customFormat="1" ht="18" x14ac:dyDescent="0.5">
      <c r="A59" s="29"/>
      <c r="B59" s="204" t="s">
        <v>305</v>
      </c>
      <c r="E59" s="201"/>
      <c r="F59" s="201"/>
      <c r="G59" s="201"/>
      <c r="H59" s="201"/>
      <c r="I59" s="201"/>
      <c r="J59"/>
      <c r="N59"/>
      <c r="O59"/>
    </row>
    <row r="60" spans="1:15" s="5" customFormat="1" ht="18" x14ac:dyDescent="0.5">
      <c r="A60" s="29"/>
      <c r="B60" s="205" t="s">
        <v>260</v>
      </c>
      <c r="E60" s="201">
        <v>6398</v>
      </c>
      <c r="F60" s="201">
        <v>6560</v>
      </c>
      <c r="G60" s="201">
        <v>6403</v>
      </c>
      <c r="H60" s="201">
        <v>6941</v>
      </c>
      <c r="I60" s="201">
        <v>7181</v>
      </c>
      <c r="J60"/>
    </row>
    <row r="61" spans="1:15" ht="18" x14ac:dyDescent="0.5">
      <c r="A61" s="27"/>
      <c r="B61" s="205" t="s">
        <v>306</v>
      </c>
      <c r="E61" s="201">
        <v>-27643</v>
      </c>
      <c r="F61" s="201">
        <v>-31748</v>
      </c>
      <c r="G61" s="201">
        <v>-36339</v>
      </c>
      <c r="H61" s="201">
        <v>-44331</v>
      </c>
      <c r="I61" s="201">
        <v>-49539</v>
      </c>
      <c r="N61" s="5"/>
      <c r="O61" s="5"/>
    </row>
    <row r="62" spans="1:15" ht="18" x14ac:dyDescent="0.5">
      <c r="A62" s="27"/>
      <c r="B62" s="205" t="s">
        <v>307</v>
      </c>
      <c r="E62" s="201">
        <v>39282</v>
      </c>
      <c r="F62" s="201">
        <v>43514</v>
      </c>
      <c r="G62" s="201">
        <v>51250</v>
      </c>
      <c r="H62" s="201">
        <v>59352</v>
      </c>
      <c r="I62" s="201">
        <v>65448</v>
      </c>
    </row>
    <row r="63" spans="1:15" ht="18" x14ac:dyDescent="0.5">
      <c r="A63" s="27"/>
      <c r="B63" s="205" t="s">
        <v>308</v>
      </c>
      <c r="E63" s="201">
        <v>-1553</v>
      </c>
      <c r="F63" s="201">
        <v>-2457</v>
      </c>
      <c r="G63" s="201">
        <v>-1820</v>
      </c>
      <c r="H63" s="201">
        <v>-2471</v>
      </c>
      <c r="I63" s="201">
        <v>-1772</v>
      </c>
    </row>
    <row r="64" spans="1:15" ht="18" x14ac:dyDescent="0.5">
      <c r="A64" s="27"/>
      <c r="B64" s="205" t="s">
        <v>309</v>
      </c>
      <c r="E64" s="201">
        <v>32</v>
      </c>
      <c r="F64" s="201">
        <v>22</v>
      </c>
      <c r="G64" s="201">
        <v>9</v>
      </c>
      <c r="H64" s="201">
        <v>3</v>
      </c>
      <c r="I64" s="201" t="s">
        <v>262</v>
      </c>
    </row>
    <row r="65" spans="1:15" ht="18" x14ac:dyDescent="0.5">
      <c r="A65" s="27"/>
      <c r="B65" s="204" t="s">
        <v>310</v>
      </c>
      <c r="E65" s="200">
        <v>16516</v>
      </c>
      <c r="F65" s="200">
        <v>15891</v>
      </c>
      <c r="G65" s="200">
        <v>19503</v>
      </c>
      <c r="H65" s="200">
        <v>19494</v>
      </c>
      <c r="I65" s="200">
        <v>21318</v>
      </c>
    </row>
    <row r="66" spans="1:15" ht="18" x14ac:dyDescent="0.5">
      <c r="A66" s="27"/>
      <c r="B66" s="204" t="s">
        <v>311</v>
      </c>
      <c r="E66" s="200">
        <v>82793</v>
      </c>
      <c r="F66" s="200">
        <v>81943</v>
      </c>
      <c r="G66" s="200">
        <v>87476</v>
      </c>
      <c r="H66" s="200">
        <v>87764</v>
      </c>
      <c r="I66" s="200">
        <v>98585</v>
      </c>
    </row>
    <row r="67" spans="1:15" s="5" customFormat="1" ht="16.2" x14ac:dyDescent="0.45">
      <c r="A67" s="29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 ht="16.2" x14ac:dyDescent="0.45">
      <c r="A68" s="27"/>
    </row>
    <row r="69" spans="1:15" ht="18" x14ac:dyDescent="0.5">
      <c r="A69" s="27"/>
      <c r="B69" s="202" t="s">
        <v>127</v>
      </c>
      <c r="C69" s="27"/>
      <c r="D69" s="27"/>
      <c r="E69" s="200">
        <v>2021</v>
      </c>
      <c r="F69" s="200">
        <v>2022</v>
      </c>
      <c r="G69" s="200">
        <v>2023</v>
      </c>
      <c r="H69" s="200">
        <v>2024</v>
      </c>
      <c r="I69" s="200">
        <v>2025</v>
      </c>
      <c r="M69" s="5"/>
      <c r="N69" s="5"/>
      <c r="O69" s="5"/>
    </row>
    <row r="70" spans="1:15" ht="16.2" x14ac:dyDescent="0.45">
      <c r="A70" s="27"/>
      <c r="B70" s="27"/>
      <c r="C70" s="27"/>
      <c r="D70" s="27"/>
      <c r="E70" s="27"/>
      <c r="F70" s="27"/>
      <c r="G70" s="27"/>
      <c r="H70" s="27"/>
      <c r="I70" s="27"/>
      <c r="M70" s="5"/>
      <c r="N70" s="5"/>
      <c r="O70" s="5"/>
    </row>
    <row r="71" spans="1:15" ht="16.2" x14ac:dyDescent="0.45">
      <c r="A71" s="27"/>
      <c r="B71" s="200"/>
      <c r="C71" s="27"/>
      <c r="D71" s="27"/>
      <c r="E71" s="27"/>
      <c r="F71" s="27"/>
      <c r="G71" s="27"/>
      <c r="H71" s="27"/>
      <c r="I71" s="27"/>
      <c r="M71" s="5"/>
      <c r="N71" s="5"/>
      <c r="O71" s="5"/>
    </row>
    <row r="72" spans="1:15" ht="16.2" x14ac:dyDescent="0.45">
      <c r="A72" s="27"/>
      <c r="B72" s="200" t="s">
        <v>312</v>
      </c>
      <c r="C72" s="27"/>
      <c r="D72" s="27"/>
      <c r="E72" s="201"/>
      <c r="F72" s="201"/>
      <c r="G72" s="201"/>
      <c r="H72" s="201"/>
      <c r="I72" s="201"/>
    </row>
    <row r="73" spans="1:15" s="5" customFormat="1" ht="16.2" x14ac:dyDescent="0.45">
      <c r="A73" s="29"/>
      <c r="B73" s="201" t="s">
        <v>313</v>
      </c>
      <c r="C73" s="29"/>
      <c r="D73" s="29"/>
      <c r="E73" s="201">
        <v>6493</v>
      </c>
      <c r="F73" s="201">
        <v>6704</v>
      </c>
      <c r="G73" s="201">
        <v>10332</v>
      </c>
      <c r="H73" s="201">
        <v>10788</v>
      </c>
      <c r="I73" s="201">
        <v>8882</v>
      </c>
      <c r="J73"/>
      <c r="M73"/>
      <c r="N73"/>
      <c r="O73"/>
    </row>
    <row r="74" spans="1:15" s="5" customFormat="1" ht="16.2" x14ac:dyDescent="0.45">
      <c r="A74" s="29"/>
      <c r="B74" s="201" t="s">
        <v>314</v>
      </c>
      <c r="C74" s="29"/>
      <c r="D74" s="29"/>
      <c r="E74" s="201">
        <v>2352</v>
      </c>
      <c r="F74" s="201">
        <v>2219</v>
      </c>
      <c r="G74" s="201">
        <v>2144</v>
      </c>
      <c r="H74" s="201">
        <v>2153</v>
      </c>
      <c r="I74" s="201">
        <v>2262</v>
      </c>
      <c r="J74"/>
      <c r="M74"/>
      <c r="N74"/>
      <c r="O74"/>
    </row>
    <row r="75" spans="1:15" ht="16.2" x14ac:dyDescent="0.45">
      <c r="A75" s="27"/>
      <c r="B75" s="201" t="s">
        <v>315</v>
      </c>
      <c r="C75" s="27"/>
      <c r="D75" s="27"/>
      <c r="E75" s="201">
        <v>-1846</v>
      </c>
      <c r="F75" s="201">
        <v>-1927</v>
      </c>
      <c r="G75" s="201">
        <v>-20</v>
      </c>
      <c r="H75" s="201">
        <v>-1234</v>
      </c>
      <c r="I75" s="201">
        <v>-16</v>
      </c>
    </row>
    <row r="76" spans="1:15" ht="16.2" x14ac:dyDescent="0.45">
      <c r="A76" s="27"/>
      <c r="B76" s="201" t="s">
        <v>316</v>
      </c>
      <c r="C76" s="27"/>
      <c r="D76" s="27"/>
      <c r="E76" s="201">
        <v>199</v>
      </c>
      <c r="F76" s="201">
        <v>770</v>
      </c>
      <c r="G76" s="201">
        <v>429</v>
      </c>
      <c r="H76" s="201">
        <v>328</v>
      </c>
      <c r="I76" s="201">
        <v>611</v>
      </c>
    </row>
    <row r="77" spans="1:15" ht="16.2" x14ac:dyDescent="0.45">
      <c r="A77" s="27"/>
      <c r="B77" s="200" t="s">
        <v>317</v>
      </c>
      <c r="C77" s="27"/>
      <c r="D77" s="27"/>
      <c r="E77" s="200">
        <v>7198</v>
      </c>
      <c r="F77" s="200">
        <v>7766</v>
      </c>
      <c r="G77" s="200">
        <v>12885</v>
      </c>
      <c r="H77" s="200">
        <v>12035</v>
      </c>
      <c r="I77" s="200">
        <v>11739</v>
      </c>
    </row>
    <row r="78" spans="1:15" ht="16.2" x14ac:dyDescent="0.45">
      <c r="A78" s="27"/>
      <c r="B78" s="201"/>
      <c r="C78" s="27"/>
      <c r="D78" s="27"/>
      <c r="E78" s="201"/>
      <c r="F78" s="201"/>
      <c r="G78" s="201"/>
      <c r="H78" s="201"/>
      <c r="I78" s="201"/>
    </row>
    <row r="79" spans="1:15" ht="16.2" x14ac:dyDescent="0.45">
      <c r="A79" s="27"/>
      <c r="B79" s="200" t="s">
        <v>318</v>
      </c>
      <c r="C79" s="27"/>
      <c r="D79" s="27"/>
      <c r="E79" s="201"/>
      <c r="F79" s="201"/>
      <c r="G79" s="201"/>
      <c r="H79" s="201"/>
      <c r="I79" s="201"/>
    </row>
    <row r="80" spans="1:15" ht="16.2" x14ac:dyDescent="0.45">
      <c r="A80" s="27"/>
      <c r="B80" s="201" t="s">
        <v>319</v>
      </c>
      <c r="C80" s="27"/>
      <c r="D80" s="27"/>
      <c r="E80" s="201">
        <v>-1093</v>
      </c>
      <c r="F80" s="201">
        <v>-1296</v>
      </c>
      <c r="G80" s="201">
        <v>-1597</v>
      </c>
      <c r="H80" s="201">
        <v>-1988</v>
      </c>
      <c r="I80" s="201">
        <v>-2821</v>
      </c>
    </row>
    <row r="81" spans="1:15" ht="16.2" x14ac:dyDescent="0.45">
      <c r="A81" s="27"/>
      <c r="B81" s="201" t="s">
        <v>320</v>
      </c>
      <c r="C81" s="27"/>
      <c r="D81" s="27"/>
      <c r="E81" s="201">
        <v>-13002</v>
      </c>
      <c r="F81" s="201">
        <v>-13239</v>
      </c>
      <c r="G81" s="201">
        <v>-15161</v>
      </c>
      <c r="H81" s="201">
        <v>-15409</v>
      </c>
      <c r="I81" s="201">
        <v>-15329</v>
      </c>
    </row>
    <row r="82" spans="1:15" s="5" customFormat="1" ht="16.2" x14ac:dyDescent="0.45">
      <c r="A82" s="29"/>
      <c r="B82" s="201" t="s">
        <v>321</v>
      </c>
      <c r="C82" s="29"/>
      <c r="D82" s="29"/>
      <c r="E82" s="201">
        <v>12430</v>
      </c>
      <c r="F82" s="201">
        <v>13177</v>
      </c>
      <c r="G82" s="201">
        <v>14034</v>
      </c>
      <c r="H82" s="201">
        <v>13608</v>
      </c>
      <c r="I82" s="201">
        <v>13515</v>
      </c>
      <c r="J82"/>
      <c r="M82"/>
      <c r="N82"/>
      <c r="O82"/>
    </row>
    <row r="83" spans="1:15" s="5" customFormat="1" ht="16.2" x14ac:dyDescent="0.45">
      <c r="A83" s="29"/>
      <c r="B83" s="201" t="s">
        <v>322</v>
      </c>
      <c r="C83" s="29"/>
      <c r="D83" s="29"/>
      <c r="E83" s="201">
        <v>-1419</v>
      </c>
      <c r="F83" s="201">
        <v>-1183</v>
      </c>
      <c r="G83" s="201">
        <v>-3147</v>
      </c>
      <c r="H83" s="201">
        <v>1336</v>
      </c>
      <c r="I83" s="201">
        <v>-72</v>
      </c>
      <c r="J83"/>
      <c r="M83"/>
      <c r="N83"/>
      <c r="O83"/>
    </row>
    <row r="84" spans="1:15" s="5" customFormat="1" ht="16.2" x14ac:dyDescent="0.45">
      <c r="A84" s="29"/>
      <c r="B84" s="200" t="s">
        <v>323</v>
      </c>
      <c r="C84" s="29"/>
      <c r="D84" s="29"/>
      <c r="E84" s="200">
        <v>-3084</v>
      </c>
      <c r="F84" s="200">
        <v>-2541</v>
      </c>
      <c r="G84" s="200">
        <v>-5871</v>
      </c>
      <c r="H84" s="200">
        <v>-2453</v>
      </c>
      <c r="I84" s="200">
        <v>-4707</v>
      </c>
      <c r="J84"/>
      <c r="M84"/>
      <c r="N84"/>
      <c r="O84"/>
    </row>
    <row r="85" spans="1:15" ht="16.2" x14ac:dyDescent="0.45">
      <c r="A85" s="27"/>
      <c r="B85" s="201"/>
      <c r="C85" s="27"/>
      <c r="D85" s="27"/>
      <c r="E85" s="201"/>
      <c r="F85" s="201"/>
      <c r="G85" s="201"/>
      <c r="H85" s="201"/>
      <c r="I85" s="201"/>
    </row>
    <row r="86" spans="1:15" ht="16.2" x14ac:dyDescent="0.45">
      <c r="A86" s="27"/>
      <c r="B86" s="200" t="s">
        <v>324</v>
      </c>
      <c r="C86" s="27"/>
      <c r="D86" s="27"/>
      <c r="E86" s="201"/>
      <c r="F86" s="201"/>
      <c r="G86" s="201"/>
      <c r="H86" s="201"/>
      <c r="I86" s="201"/>
    </row>
    <row r="87" spans="1:15" ht="16.2" x14ac:dyDescent="0.45">
      <c r="A87" s="27"/>
      <c r="B87" s="201" t="s">
        <v>325</v>
      </c>
      <c r="C87" s="27"/>
      <c r="D87" s="27"/>
      <c r="E87" s="201">
        <v>-2332</v>
      </c>
      <c r="F87" s="201">
        <v>-2440</v>
      </c>
      <c r="G87" s="201">
        <v>-2563</v>
      </c>
      <c r="H87" s="201">
        <v>-2646</v>
      </c>
      <c r="I87" s="201">
        <v>-2749</v>
      </c>
    </row>
    <row r="88" spans="1:15" ht="16.2" x14ac:dyDescent="0.45">
      <c r="A88" s="27"/>
      <c r="B88" s="201" t="s">
        <v>326</v>
      </c>
      <c r="C88" s="27"/>
      <c r="D88" s="27"/>
      <c r="E88" s="201">
        <v>-2668</v>
      </c>
      <c r="F88" s="201">
        <v>-4230</v>
      </c>
      <c r="G88" s="201">
        <v>-4975</v>
      </c>
      <c r="H88" s="201">
        <v>-7697</v>
      </c>
      <c r="I88" s="201">
        <v>-5190</v>
      </c>
    </row>
    <row r="89" spans="1:15" ht="16.2" x14ac:dyDescent="0.45">
      <c r="A89" s="27"/>
      <c r="B89" s="201" t="s">
        <v>327</v>
      </c>
      <c r="C89" s="27"/>
      <c r="D89" s="27"/>
      <c r="E89" s="201">
        <v>6989</v>
      </c>
      <c r="F89" s="201">
        <v>6674</v>
      </c>
      <c r="G89" s="201">
        <v>8257</v>
      </c>
      <c r="H89" s="201">
        <v>10283</v>
      </c>
      <c r="I89" s="201">
        <v>11105</v>
      </c>
      <c r="J89" s="5"/>
    </row>
    <row r="90" spans="1:15" ht="16.2" x14ac:dyDescent="0.45">
      <c r="A90" s="27"/>
      <c r="B90" s="201" t="s">
        <v>328</v>
      </c>
      <c r="C90" s="27"/>
      <c r="D90" s="27"/>
      <c r="E90" s="201">
        <v>-9796</v>
      </c>
      <c r="F90" s="201">
        <v>-7728</v>
      </c>
      <c r="G90" s="201">
        <v>-6318</v>
      </c>
      <c r="H90" s="201">
        <v>-9316</v>
      </c>
      <c r="I90" s="201">
        <v>-8081</v>
      </c>
      <c r="J90" s="5"/>
    </row>
    <row r="91" spans="1:15" ht="16.2" x14ac:dyDescent="0.45">
      <c r="A91" s="27"/>
      <c r="B91" s="201" t="s">
        <v>329</v>
      </c>
      <c r="C91" s="27"/>
      <c r="D91" s="27"/>
      <c r="E91" s="201">
        <v>3619</v>
      </c>
      <c r="F91" s="201">
        <v>443</v>
      </c>
      <c r="G91" s="201">
        <v>-1333</v>
      </c>
      <c r="H91" s="201">
        <v>-189</v>
      </c>
      <c r="I91" s="201">
        <v>1016</v>
      </c>
      <c r="J91" s="27"/>
    </row>
    <row r="92" spans="1:15" ht="16.2" x14ac:dyDescent="0.45">
      <c r="A92" s="27"/>
      <c r="B92" s="200" t="s">
        <v>330</v>
      </c>
      <c r="C92" s="27"/>
      <c r="D92" s="27"/>
      <c r="E92" s="200">
        <v>-4188</v>
      </c>
      <c r="F92" s="200">
        <v>-7281</v>
      </c>
      <c r="G92" s="200">
        <v>-6932</v>
      </c>
      <c r="H92" s="200">
        <v>-9565</v>
      </c>
      <c r="I92" s="200">
        <v>-3899</v>
      </c>
      <c r="J92" s="27"/>
    </row>
    <row r="93" spans="1:15" ht="16.2" x14ac:dyDescent="0.45">
      <c r="A93" s="27"/>
      <c r="B93" s="201"/>
      <c r="C93" s="27"/>
      <c r="D93" s="27"/>
      <c r="E93" s="201"/>
      <c r="F93" s="201"/>
      <c r="G93" s="201"/>
      <c r="H93" s="201"/>
      <c r="I93" s="201"/>
    </row>
    <row r="94" spans="1:15" ht="16.2" x14ac:dyDescent="0.45">
      <c r="A94" s="27"/>
      <c r="B94" s="200" t="s">
        <v>331</v>
      </c>
      <c r="C94" s="27"/>
      <c r="D94" s="27"/>
      <c r="E94" s="200">
        <v>-103</v>
      </c>
      <c r="F94" s="200">
        <v>-2250</v>
      </c>
      <c r="G94" s="200">
        <v>-28</v>
      </c>
      <c r="H94" s="200">
        <v>-89</v>
      </c>
      <c r="I94" s="200">
        <v>3090</v>
      </c>
    </row>
    <row r="95" spans="1:15" ht="16.2" x14ac:dyDescent="0.45">
      <c r="A95" s="27"/>
      <c r="B95" s="200" t="s">
        <v>332</v>
      </c>
      <c r="C95" s="27"/>
      <c r="D95" s="27"/>
      <c r="E95" s="200">
        <v>9263</v>
      </c>
      <c r="F95" s="200">
        <v>7013</v>
      </c>
      <c r="G95" s="200">
        <v>6985</v>
      </c>
      <c r="H95" s="200">
        <v>6896</v>
      </c>
      <c r="I95" s="200">
        <v>9986</v>
      </c>
    </row>
    <row r="96" spans="1:15" ht="16.2" x14ac:dyDescent="0.45">
      <c r="A96" s="27"/>
    </row>
    <row r="97" spans="1:1" ht="16.2" x14ac:dyDescent="0.45">
      <c r="A97" s="27"/>
    </row>
    <row r="98" spans="1:1" ht="16.2" x14ac:dyDescent="0.45">
      <c r="A98" s="27"/>
    </row>
    <row r="99" spans="1:1" ht="16.2" x14ac:dyDescent="0.45">
      <c r="A99" s="27"/>
    </row>
    <row r="100" spans="1:1" ht="16.2" x14ac:dyDescent="0.45">
      <c r="A100" s="27"/>
    </row>
    <row r="101" spans="1:1" ht="16.2" x14ac:dyDescent="0.45">
      <c r="A101" s="27"/>
    </row>
    <row r="102" spans="1:1" ht="16.2" x14ac:dyDescent="0.45">
      <c r="A102" s="27"/>
    </row>
    <row r="103" spans="1:1" ht="16.2" x14ac:dyDescent="0.45">
      <c r="A103" s="27"/>
    </row>
    <row r="104" spans="1:1" ht="16.2" x14ac:dyDescent="0.45">
      <c r="A104" s="27"/>
    </row>
    <row r="105" spans="1:1" ht="16.2" x14ac:dyDescent="0.45">
      <c r="A105" s="27"/>
    </row>
    <row r="106" spans="1:1" ht="16.2" x14ac:dyDescent="0.45">
      <c r="A106" s="27"/>
    </row>
    <row r="107" spans="1:1" ht="16.2" x14ac:dyDescent="0.45">
      <c r="A107" s="27"/>
    </row>
    <row r="108" spans="1:1" ht="16.2" x14ac:dyDescent="0.45">
      <c r="A108" s="27"/>
    </row>
    <row r="109" spans="1:1" ht="16.2" x14ac:dyDescent="0.45">
      <c r="A109" s="27"/>
    </row>
    <row r="110" spans="1:1" ht="16.2" x14ac:dyDescent="0.45">
      <c r="A110" s="27"/>
    </row>
    <row r="111" spans="1:1" ht="16.2" x14ac:dyDescent="0.45">
      <c r="A111" s="27"/>
    </row>
    <row r="112" spans="1:1" ht="16.2" x14ac:dyDescent="0.45">
      <c r="A112" s="27"/>
    </row>
    <row r="113" spans="1:15" ht="16.2" x14ac:dyDescent="0.45">
      <c r="A113" s="27"/>
    </row>
    <row r="114" spans="1:15" ht="16.2" x14ac:dyDescent="0.45">
      <c r="A114" s="27"/>
    </row>
    <row r="115" spans="1:15" ht="16.2" x14ac:dyDescent="0.45">
      <c r="A115" s="27"/>
    </row>
    <row r="116" spans="1:15" ht="16.2" x14ac:dyDescent="0.45">
      <c r="A116" s="27"/>
    </row>
    <row r="117" spans="1:15" ht="16.2" x14ac:dyDescent="0.45">
      <c r="A117" s="27"/>
    </row>
    <row r="118" spans="1:15" ht="16.2" x14ac:dyDescent="0.45">
      <c r="A118" s="27"/>
    </row>
    <row r="119" spans="1:15" ht="16.2" x14ac:dyDescent="0.45">
      <c r="A119" s="27"/>
    </row>
    <row r="120" spans="1:15" ht="16.2" x14ac:dyDescent="0.45">
      <c r="A120" s="27"/>
    </row>
    <row r="121" spans="1:15" ht="16.2" x14ac:dyDescent="0.45">
      <c r="A121" s="27"/>
      <c r="M121" s="5"/>
      <c r="N121" s="5"/>
      <c r="O121" s="5"/>
    </row>
    <row r="122" spans="1:15" ht="16.2" x14ac:dyDescent="0.45">
      <c r="A122" s="27"/>
      <c r="M122" s="5"/>
      <c r="N122" s="5"/>
      <c r="O122" s="5"/>
    </row>
    <row r="123" spans="1:15" ht="16.2" x14ac:dyDescent="0.45">
      <c r="A123" s="27"/>
    </row>
    <row r="124" spans="1:15" ht="16.2" x14ac:dyDescent="0.45">
      <c r="A124" s="27"/>
    </row>
    <row r="125" spans="1:15" ht="16.2" x14ac:dyDescent="0.45">
      <c r="A125" s="27"/>
    </row>
    <row r="126" spans="1:15" ht="16.2" x14ac:dyDescent="0.45">
      <c r="A126" s="27"/>
    </row>
    <row r="127" spans="1:15" ht="16.2" x14ac:dyDescent="0.45">
      <c r="A127" s="27"/>
    </row>
    <row r="128" spans="1:15" ht="16.2" x14ac:dyDescent="0.45">
      <c r="A128" s="27"/>
    </row>
    <row r="129" spans="1:15" ht="16.2" x14ac:dyDescent="0.45">
      <c r="A129" s="27"/>
    </row>
    <row r="130" spans="1:15" ht="16.2" x14ac:dyDescent="0.45">
      <c r="A130" s="27"/>
    </row>
    <row r="131" spans="1:15" ht="16.2" x14ac:dyDescent="0.45">
      <c r="A131" s="27"/>
    </row>
    <row r="132" spans="1:15" ht="16.2" x14ac:dyDescent="0.45">
      <c r="A132" s="27"/>
    </row>
    <row r="133" spans="1:15" ht="16.2" x14ac:dyDescent="0.45">
      <c r="A133" s="27"/>
    </row>
    <row r="134" spans="1:15" s="5" customFormat="1" ht="16.2" x14ac:dyDescent="0.45">
      <c r="A134" s="29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s="5" customFormat="1" ht="16.2" x14ac:dyDescent="0.45">
      <c r="A135" s="29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BA9214-0D10-4478-AC5F-C6634CE1AC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Page</vt:lpstr>
      <vt:lpstr>P&amp;L</vt:lpstr>
      <vt:lpstr>Balance Sheet </vt:lpstr>
      <vt:lpstr>Cash Flow</vt:lpstr>
      <vt:lpstr>DCF Model</vt:lpstr>
      <vt:lpstr>Comps Table</vt:lpstr>
      <vt:lpstr>Output Charts</vt:lpstr>
      <vt:lpstr>Ratio Analysis</vt:lpstr>
      <vt:lpstr>Assumptions</vt:lpstr>
      <vt:lpstr>Input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Kubalasa</dc:creator>
  <cp:lastModifiedBy>Maya Kubalasa</cp:lastModifiedBy>
  <cp:lastPrinted>2025-05-10T22:06:01Z</cp:lastPrinted>
  <dcterms:created xsi:type="dcterms:W3CDTF">2023-08-17T11:32:06Z</dcterms:created>
  <dcterms:modified xsi:type="dcterms:W3CDTF">2026-02-11T14:28:57Z</dcterms:modified>
</cp:coreProperties>
</file>